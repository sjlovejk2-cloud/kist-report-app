
<file path=[Content_Types].xml><?xml version="1.0" encoding="utf-8"?>
<Types xmlns="http://schemas.openxmlformats.org/package/2006/content-types">
  <Default Extension="bin" ContentType="application/vnd.openxmlformats-officedocument.spreadsheetml.printerSettings"/>
  <Default Extension="emf" ContentType="image/x-emf"/>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openxmlformats.org/package/2006/relationships/metadata/thumbnail" Target="docProps/thumbnail.emf"/><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defaultThemeVersion="166925"/>
  <mc:AlternateContent xmlns:mc="http://schemas.openxmlformats.org/markup-compatibility/2006">
    <mc:Choice Requires="x15">
      <x15ac:absPath xmlns:x15ac="http://schemas.microsoft.com/office/spreadsheetml/2010/11/ac" url="F:\kist-report-app\project\templates\"/>
    </mc:Choice>
  </mc:AlternateContent>
  <xr:revisionPtr revIDLastSave="0" documentId="13_ncr:1_{7B7E8504-9C46-4673-8D6A-B2F2097E211B}" xr6:coauthVersionLast="47" xr6:coauthVersionMax="47" xr10:uidLastSave="{00000000-0000-0000-0000-000000000000}"/>
  <bookViews>
    <workbookView xWindow="28680" yWindow="-120" windowWidth="29040" windowHeight="15720" firstSheet="1" activeTab="3" xr2:uid="{AF106CF9-26C5-4562-8BE5-8A8344A1C819}"/>
  </bookViews>
  <sheets>
    <sheet name="★자료입력" sheetId="1" state="hidden" r:id="rId1"/>
    <sheet name="승락서" sheetId="4" r:id="rId2"/>
    <sheet name="지급각서(7.5%)" sheetId="2" r:id="rId3"/>
    <sheet name="하자각서(3%)" sheetId="3" r:id="rId4"/>
  </sheets>
  <externalReferences>
    <externalReference r:id="rId5"/>
  </externalReferences>
  <definedNames>
    <definedName name="_xlnm.Print_Area" localSheetId="1">승락서!$A$1:$T$36</definedName>
    <definedName name="_xlnm.Print_Area" localSheetId="2">'지급각서(7.5%)'!$B$3:$I$35</definedName>
    <definedName name="_xlnm.Print_Area" localSheetId="3">'하자각서(3%)'!$A$2:$J$34</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B26" i="3" l="1"/>
  <c r="D31" i="4"/>
  <c r="C30" i="2"/>
  <c r="D29" i="4"/>
  <c r="B24" i="3" s="1"/>
  <c r="D27" i="4"/>
  <c r="B22" i="3" s="1"/>
  <c r="A23" i="4"/>
  <c r="C5" i="2" s="1"/>
  <c r="C6" i="4"/>
  <c r="B7" i="4" s="1"/>
  <c r="I4" i="4"/>
  <c r="B4" i="4"/>
  <c r="P3" i="4"/>
  <c r="B3" i="4"/>
  <c r="C4" i="2" s="1"/>
  <c r="B34" i="2"/>
  <c r="C28" i="2"/>
  <c r="C26" i="2"/>
  <c r="G7" i="2"/>
  <c r="C7" i="2"/>
  <c r="G6" i="2" l="1"/>
  <c r="C8" i="4"/>
  <c r="I5" i="3"/>
  <c r="I6" i="3" s="1"/>
  <c r="B5" i="4"/>
  <c r="B5" i="3" s="1"/>
  <c r="N5" i="4"/>
  <c r="N6" i="4" s="1"/>
  <c r="B3" i="3"/>
  <c r="B4" i="3"/>
  <c r="B20" i="2"/>
  <c r="B6" i="3" l="1"/>
  <c r="C6" i="2"/>
</calcChain>
</file>

<file path=xl/sharedStrings.xml><?xml version="1.0" encoding="utf-8"?>
<sst xmlns="http://schemas.openxmlformats.org/spreadsheetml/2006/main" count="143" uniqueCount="120">
  <si>
    <t>구분</t>
    <phoneticPr fontId="3" type="noConversion"/>
  </si>
  <si>
    <t>체결통보</t>
    <phoneticPr fontId="3" type="noConversion"/>
  </si>
  <si>
    <t>순번</t>
  </si>
  <si>
    <t>수신처</t>
    <phoneticPr fontId="3" type="noConversion"/>
  </si>
  <si>
    <t>감독관</t>
  </si>
  <si>
    <t>계약번호</t>
  </si>
  <si>
    <t>계약일자</t>
    <phoneticPr fontId="3" type="noConversion"/>
  </si>
  <si>
    <t>계약기간</t>
  </si>
  <si>
    <t>계       약       명</t>
  </si>
  <si>
    <t>통제금액
(기초금액)</t>
  </si>
  <si>
    <t>계약금액</t>
  </si>
  <si>
    <t>계약방법</t>
  </si>
  <si>
    <t>계약업체명</t>
  </si>
  <si>
    <t>사업자등록번호</t>
  </si>
  <si>
    <t>대표자</t>
  </si>
  <si>
    <t>주소</t>
  </si>
  <si>
    <t>2025-09-26</t>
    <phoneticPr fontId="3" type="noConversion"/>
  </si>
  <si>
    <t>2025-09-26 2025-10-17</t>
    <phoneticPr fontId="3" type="noConversion"/>
  </si>
  <si>
    <t>수소에너지소재연구단(0184호) 청정수소 분리판 기술 개발실 구축(설비)</t>
    <phoneticPr fontId="3" type="noConversion"/>
  </si>
  <si>
    <t>수의계약</t>
    <phoneticPr fontId="3" type="noConversion"/>
  </si>
  <si>
    <t>경은엔지니어링</t>
    <phoneticPr fontId="3" type="noConversion"/>
  </si>
  <si>
    <t>김강수</t>
    <phoneticPr fontId="3" type="noConversion"/>
  </si>
  <si>
    <t>서울시 송파구 토성로 38-6번지</t>
    <phoneticPr fontId="3" type="noConversion"/>
  </si>
  <si>
    <t>주의: 날자앞에 '</t>
    <phoneticPr fontId="3" type="noConversion"/>
  </si>
  <si>
    <t>지     급     각     서</t>
    <phoneticPr fontId="3" type="noConversion"/>
  </si>
  <si>
    <t>계   약   명</t>
    <phoneticPr fontId="3" type="noConversion"/>
  </si>
  <si>
    <t>제44조(계약보증금) ①회계규정 제72조의 규정에 의한 계약보증금은 계약금액의 100분의 10이상으로 납부하게 하여야 한다.
 다만, 공사계약에 있어서 연대보증인을 세우지 아니하는 경우에는 계약금액의 100분의 15이상으로 납부하게 하거나
 계약금액의 100분의 40이상을 납부할 것을 보증하는 공사이행 보증서를 제출하게 하여야 한다. &lt;개정 1997.12.12., 2012.3.19.&gt;</t>
    <phoneticPr fontId="3" type="noConversion"/>
  </si>
  <si>
    <t>계약년월일</t>
    <phoneticPr fontId="3" type="noConversion"/>
  </si>
  <si>
    <t>④회계규정 제72조 제1항 단서의 규정에 의하여 계약보증금의 전부 또는 일부를 면제할 수 있는 경우는 다음 각 호와 같다. &lt;개정 2012.3.19.&gt;</t>
  </si>
  <si>
    <t>계 약 금 액</t>
    <phoneticPr fontId="3" type="noConversion"/>
  </si>
  <si>
    <t>(</t>
    <phoneticPr fontId="3" type="noConversion"/>
  </si>
  <si>
    <t xml:space="preserve"> /</t>
    <phoneticPr fontId="3" type="noConversion"/>
  </si>
  <si>
    <t>부가가치세포함)</t>
    <phoneticPr fontId="3" type="noConversion"/>
  </si>
  <si>
    <t>3. 계약금액이 3천만원이하인 계약을 체결하는 경우 &lt;개정 2012.3.19.&gt;</t>
  </si>
  <si>
    <t>계약보증금</t>
    <phoneticPr fontId="3" type="noConversion"/>
  </si>
  <si>
    <t>지급각서로대체)</t>
    <phoneticPr fontId="3" type="noConversion"/>
  </si>
  <si>
    <t>⑧제35조 제4항의 규정은 제4항의 규정에 의하여 계약보증금의 전부 또는 일부를 면제한 경우에 이를 준용한다.</t>
  </si>
  <si>
    <t>⑨제1항부터 제3항까지에 의한 계약보증금은 계약보증금 납부서(별표 제11호)와 함께 납부하게 하여야 한다.</t>
  </si>
  <si>
    <t>단, 계약업무요령 제44조 제4항 제3호의 규정에 의하여 면제.</t>
    <phoneticPr fontId="3" type="noConversion"/>
  </si>
  <si>
    <t>면제된 위의 계약보증금은 계약상의 의무를 이행하지 아니한 경우 현금으로 납입할 것을</t>
    <phoneticPr fontId="3" type="noConversion"/>
  </si>
  <si>
    <t>확약하며 이에 각서를 제출함.</t>
    <phoneticPr fontId="3" type="noConversion"/>
  </si>
  <si>
    <t>주소 :</t>
    <phoneticPr fontId="3" type="noConversion"/>
  </si>
  <si>
    <t>상호 :</t>
    <phoneticPr fontId="3" type="noConversion"/>
  </si>
  <si>
    <t>성명 :</t>
    <phoneticPr fontId="3" type="noConversion"/>
  </si>
  <si>
    <t>하 자 보 수 책 임 각 서</t>
    <phoneticPr fontId="3" type="noConversion"/>
  </si>
  <si>
    <t xml:space="preserve"> 1. 계        약       명</t>
    <phoneticPr fontId="3" type="noConversion"/>
  </si>
  <si>
    <t>제72조(하자보수보증금률) ①각 중앙관서의 장 또는 계약담당공무원은 공사계약을 체결할 때에 영 제62조제1항 본문의 규정에 의하여  다음 각호의 공종(각 공종간의 하자책임을 구분할 수 없는 복합공사인 경우에는 주된 공종을 말한다)구분에 하여 계약금액에 대한 하자보수보증금률을 정하여야 한다.</t>
    <phoneticPr fontId="3" type="noConversion"/>
  </si>
  <si>
    <t xml:space="preserve"> 2. 계    약    일    자</t>
    <phoneticPr fontId="3" type="noConversion"/>
  </si>
  <si>
    <r>
      <t xml:space="preserve">1. 철도·댐·터널·철강교설치·발전설비·교량·상하수도구조물등 중요구조물공사 및 </t>
    </r>
    <r>
      <rPr>
        <b/>
        <sz val="11"/>
        <rFont val="돋움"/>
        <family val="3"/>
        <charset val="129"/>
      </rPr>
      <t>조경공사</t>
    </r>
    <r>
      <rPr>
        <sz val="11"/>
        <rFont val="돋움"/>
        <family val="3"/>
        <charset val="129"/>
      </rPr>
      <t>: 100분의 5</t>
    </r>
    <phoneticPr fontId="3" type="noConversion"/>
  </si>
  <si>
    <t xml:space="preserve"> 3. 계    약    금    액</t>
    <phoneticPr fontId="3" type="noConversion"/>
  </si>
  <si>
    <t xml:space="preserve"> / 부가가치세포함)</t>
    <phoneticPr fontId="3" type="noConversion"/>
  </si>
  <si>
    <t>2. 공항·항만·삭도설치·방파제·사방·간척등 공사: 100분의 4</t>
    <phoneticPr fontId="3" type="noConversion"/>
  </si>
  <si>
    <t xml:space="preserve"> 4. 하 자  보 수 금 액</t>
    <phoneticPr fontId="3" type="noConversion"/>
  </si>
  <si>
    <t>)</t>
    <phoneticPr fontId="3" type="noConversion"/>
  </si>
  <si>
    <t>3. 관개수로·도로(포장공사를 포함한다)·매립·상하수도관로·하천·일반건축등 공사: 100분의 3</t>
  </si>
  <si>
    <t xml:space="preserve"> 5. 하자보수책임기간</t>
    <phoneticPr fontId="3" type="noConversion"/>
  </si>
  <si>
    <t xml:space="preserve">  2년</t>
    <phoneticPr fontId="3" type="noConversion"/>
  </si>
  <si>
    <t>4. 제1호 내지 제3호외의 공사: 100분의 2</t>
  </si>
  <si>
    <t>②영 제62조제1항 단서에 따라 하자보수보증금을 납부하지 아니하게 할 수 있는 경우는 다음 각 호의 어느 하나의 공사로 한다. &lt;개정 1998.2.23., 2005.9.8., 2013.6.19., 2014.11.4.&gt;</t>
  </si>
  <si>
    <t>1. 「건설산업기본법 시행령」 별표 1에 따른 건설업종의 업무내용 중 구조물 등을 해체하는 공사</t>
  </si>
  <si>
    <t xml:space="preserve">   우리 회사는 귀 연구원이 발주하는 공사(용역)를 수주함에 있어서 준공(완료) 후</t>
    <phoneticPr fontId="3" type="noConversion"/>
  </si>
  <si>
    <t>2. 단순암반절취공사, 모래·자갈채취공사등 그 공사의 성질상 객관적으로 하자보수가 필요하지 아니한 공사</t>
  </si>
  <si>
    <t xml:space="preserve">   하자가 발생될 때에는 지체없이 하자보수에 임할 것과 당사의 부득이한 사정 등으로</t>
    <phoneticPr fontId="3" type="noConversion"/>
  </si>
  <si>
    <t>3. 계약금액이 3천만원을 초과하지 아니하는 공사(조경공사를 제외한다)</t>
  </si>
  <si>
    <r>
      <t xml:space="preserve">  </t>
    </r>
    <r>
      <rPr>
        <sz val="11"/>
        <rFont val="맑은 고딕"/>
        <family val="3"/>
        <charset val="129"/>
      </rPr>
      <t xml:space="preserve"> 하자보수를 이행하지 못할 때에는 위 하자보수금액은 물론 하자보수비용 일체를</t>
    </r>
    <phoneticPr fontId="3" type="noConversion"/>
  </si>
  <si>
    <r>
      <t xml:space="preserve">   귀 연구원이 </t>
    </r>
    <r>
      <rPr>
        <sz val="11"/>
        <rFont val="맑은 고딕"/>
        <family val="3"/>
        <charset val="129"/>
      </rPr>
      <t>청구한날로부터 14일 이내에 현금으로 납부할 것을 확약하며</t>
    </r>
    <phoneticPr fontId="3" type="noConversion"/>
  </si>
  <si>
    <r>
      <t xml:space="preserve"> </t>
    </r>
    <r>
      <rPr>
        <sz val="11"/>
        <rFont val="맑은 고딕"/>
        <family val="3"/>
        <charset val="129"/>
      </rPr>
      <t xml:space="preserve">  이 각서를 제출합니다.</t>
    </r>
    <phoneticPr fontId="3" type="noConversion"/>
  </si>
  <si>
    <t>건설업종 3%</t>
    <phoneticPr fontId="3" type="noConversion"/>
  </si>
  <si>
    <t xml:space="preserve"> </t>
    <phoneticPr fontId="3" type="noConversion"/>
  </si>
  <si>
    <t>조경 5%</t>
    <phoneticPr fontId="3" type="noConversion"/>
  </si>
  <si>
    <t>전기, 통신, 소방 등 건설업종 외의 공사 2%</t>
    <phoneticPr fontId="3" type="noConversion"/>
  </si>
  <si>
    <t xml:space="preserve">                     </t>
    <phoneticPr fontId="3" type="noConversion"/>
  </si>
  <si>
    <r>
      <t xml:space="preserve">2025   </t>
    </r>
    <r>
      <rPr>
        <sz val="11"/>
        <rFont val="맑은 고딕"/>
        <family val="3"/>
        <charset val="129"/>
      </rPr>
      <t xml:space="preserve">년  9월  </t>
    </r>
    <r>
      <rPr>
        <sz val="11"/>
        <rFont val="맑은 고딕"/>
        <family val="3"/>
        <charset val="129"/>
      </rPr>
      <t xml:space="preserve">  26</t>
    </r>
    <r>
      <rPr>
        <sz val="11"/>
        <rFont val="맑은 고딕"/>
        <family val="3"/>
        <charset val="129"/>
      </rPr>
      <t>일</t>
    </r>
    <phoneticPr fontId="3" type="noConversion"/>
  </si>
  <si>
    <t>한국과학기술연구원  원장  귀하</t>
  </si>
  <si>
    <t>승         락         서</t>
    <phoneticPr fontId="3" type="noConversion"/>
  </si>
  <si>
    <t>공   사   명</t>
    <phoneticPr fontId="3" type="noConversion"/>
  </si>
  <si>
    <t>계약번호 :</t>
    <phoneticPr fontId="3" type="noConversion"/>
  </si>
  <si>
    <t>제49조(계약서작성의 생략) 법 제11조제1항 단서의 규정에 의하여 계약서의 작성을 생략할 수 있는 경우는 다음 각호와 같다. &lt;개정 1999.9.9.&gt;</t>
  </si>
  <si>
    <t>공 사 기 간</t>
    <phoneticPr fontId="3" type="noConversion"/>
  </si>
  <si>
    <t>부터</t>
    <phoneticPr fontId="3" type="noConversion"/>
  </si>
  <si>
    <t>까지</t>
    <phoneticPr fontId="3" type="noConversion"/>
  </si>
  <si>
    <t>1. 계약금액이 3천만원이하인 계약을 체결하는 경우</t>
  </si>
  <si>
    <t>공 사 금 액</t>
    <phoneticPr fontId="3" type="noConversion"/>
  </si>
  <si>
    <t>공사금액 :</t>
    <phoneticPr fontId="3" type="noConversion"/>
  </si>
  <si>
    <t>2. 경매에 부치는 경우</t>
  </si>
  <si>
    <t>부가세액 :</t>
    <phoneticPr fontId="3" type="noConversion"/>
  </si>
  <si>
    <t>3. 물품매각의 경우에 있어서 매수인이 즉시 대금을 납부하고 그 물품을 인수하는 경우</t>
  </si>
  <si>
    <t>계약 보증금</t>
    <phoneticPr fontId="3" type="noConversion"/>
  </si>
  <si>
    <t xml:space="preserve"> /  지급각서로 대체</t>
    <phoneticPr fontId="3" type="noConversion"/>
  </si>
  <si>
    <t>4. 각 국가기관 및 지방자치단체 상호간에 계약을 체결하는 경우</t>
  </si>
  <si>
    <t>5. 전기ㆍ가스ㆍ수도의 공급계약등 성질상 계약서의 작성이 필요하지 아니한 경우</t>
  </si>
  <si>
    <t>지체 상금율</t>
    <phoneticPr fontId="3" type="noConversion"/>
  </si>
  <si>
    <t>0.05% / 1일</t>
    <phoneticPr fontId="3" type="noConversion"/>
  </si>
  <si>
    <t xml:space="preserve"> 하자보수보증금율</t>
    <phoneticPr fontId="3" type="noConversion"/>
  </si>
  <si>
    <t>3%(하자각서)</t>
    <phoneticPr fontId="3" type="noConversion"/>
  </si>
  <si>
    <t>지 급 조 건</t>
    <phoneticPr fontId="3" type="noConversion"/>
  </si>
  <si>
    <t>완료 후 100% 지급</t>
    <phoneticPr fontId="3" type="noConversion"/>
  </si>
  <si>
    <t>하 자 기 간</t>
    <phoneticPr fontId="3" type="noConversion"/>
  </si>
  <si>
    <t>관련 법령에 따름</t>
    <phoneticPr fontId="3" type="noConversion"/>
  </si>
  <si>
    <t>제44조(계약보증금) ①회계규정 제72조의 규정에 의한 계약보증금은 계약금액의 100분의 10이상으로 납부하게 하여야 한다. 2012.3.19.&gt;</t>
    <phoneticPr fontId="3" type="noConversion"/>
  </si>
  <si>
    <t xml:space="preserve">다만, 공사계약에 있어서 연대보증인을 세우지 아니하는 경우에는 계약금액의 100분의 15이상으로 납부하게 하거나 </t>
    <phoneticPr fontId="3" type="noConversion"/>
  </si>
  <si>
    <t xml:space="preserve">당사는 위 조건으로 귀 원의 공사를 수주하여 시공함에 있어서 공사도면,  시방서, 시설공사계약 일반조건,
안전 및 폐기물처리 수칙 등을 숙지하고 이 모든 사항을 수락하며, 귀 원이 사정에 의하여 설계를 변경하거나 일시적으로 공사를 중단 할 경우에도 이의를 제기하지 아니하고 우수한 시설물을 완성할 것을 승락하며
이 승락서를 제출합니다. </t>
    <phoneticPr fontId="3" type="noConversion"/>
  </si>
  <si>
    <t xml:space="preserve">계약금액의 100분의 40이상을 납부할 것을 보증하는 공사이행 보증서를 제출하게 하여야 한다. &lt;개정 1997.12.12., </t>
    <phoneticPr fontId="3" type="noConversion"/>
  </si>
  <si>
    <t>제72조(하자보수보증금률) ①각 중앙관서의 장 또는 계약담당공무원은 공사계약을 체결할 때에 영 제62조제1항 본문의 규정에 의하여 다음 각호의 공종(각 공종간의 하자책임을 구분할 수 없는 복합공사인 경우에는 주된 공종을 말한다)구분에 의하여 계약금액에 대한 하자보수보증금률을 정하여야 한다.</t>
  </si>
  <si>
    <t>1. 철도·댐·터널·철강교설치·발전설비·교량·상하수도구조물등 중요구조물공사 및 조경공사: 100분의 5</t>
  </si>
  <si>
    <t>2. 공항·항만·삭도설치·방파제·사방·간척등 공사: 100분의 4</t>
  </si>
  <si>
    <t>작성자</t>
    <phoneticPr fontId="3" type="noConversion"/>
  </si>
  <si>
    <t xml:space="preserve">주소 : </t>
    <phoneticPr fontId="3" type="noConversion"/>
  </si>
  <si>
    <t>제75조(지체상금률) 영 제74조제1항에 따른 지체상금률은 다음 각호와 같다. &lt;개정 1996.12.31., 2005.9.8., 2010.7.21., 2014.11.4., 2017.12.28.&gt;</t>
  </si>
  <si>
    <t xml:space="preserve">상호 : </t>
    <phoneticPr fontId="3" type="noConversion"/>
  </si>
  <si>
    <t>1. 공사: 1천분의 0.5</t>
  </si>
  <si>
    <t>.</t>
    <phoneticPr fontId="3" type="noConversion"/>
  </si>
  <si>
    <t>2. 물품의 제조·구매(영 제16조제3항에 따라 소프트웨어사업시 물품과 용역을 일괄하여 입찰에 부치는 경우를 포함한다. 이하 이 호에서 같다): 1천분의 0.75. 다만, 계약 이후 설계와 제조가 일괄하여 이루어지고, 그 설계에 대하여 발주한 중앙관서의 장의 승인이 필요한 물품의 제조·구매의 경우에는 1천분의 0.5로 한다.</t>
  </si>
  <si>
    <t xml:space="preserve">대표 : </t>
    <phoneticPr fontId="3" type="noConversion"/>
  </si>
  <si>
    <t>3. 물품의 수리·가공·대여,용역(영 제16조제3항에 따라 소프트웨어사업시 물품과 용역을 일괄하여 입찰에 부치는 경우의 그 용역을 제외한다) 및 기타: 1천분의 1.25</t>
  </si>
  <si>
    <t>`</t>
    <phoneticPr fontId="3" type="noConversion"/>
  </si>
  <si>
    <t>4. 군용 음·식료품 제조·구매: 1천분의 1.5</t>
  </si>
  <si>
    <t>5. 운송·보관 및 양곡가공: 1천분의 2.5</t>
  </si>
  <si>
    <t>한국과학기술연구원  원장  귀하</t>
    <phoneticPr fontId="3" type="noConversion"/>
  </si>
  <si>
    <t xml:space="preserve"> 붙임 : 지급각서, 하자보수책임각서, 청렴계약 이행각서, 계약내역서</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</si>
</sst>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2">
    <numFmt numFmtId="42" formatCode="_-&quot;₩&quot;* #,##0_-;\-&quot;₩&quot;* #,##0_-;_-&quot;₩&quot;* &quot;-&quot;_-;_-@_-"/>
    <numFmt numFmtId="41" formatCode="_-* #,##0_-;\-* #,##0_-;_-* &quot;-&quot;_-;_-@_-"/>
    <numFmt numFmtId="176" formatCode="#,##0;[Red]#,##0"/>
    <numFmt numFmtId="177" formatCode="&quot;2014년&quot;\ 00&quot;월&quot;\ 00&quot;일&quot;"/>
    <numFmt numFmtId="178" formatCode="&quot;₩&quot;#,##0"/>
    <numFmt numFmtId="179" formatCode="&quot;2013년&quot;\ 00&quot;월&quot;\ 00&quot;일&quot;"/>
    <numFmt numFmtId="180" formatCode="&quot;2001년&quot;\ 00&quot;월&quot;\ 00&quot;일&quot;"/>
    <numFmt numFmtId="181" formatCode="0.0%"/>
    <numFmt numFmtId="182" formatCode="&quot;2015년&quot;\ 00&quot;월&quot;\ 00&quot;일&quot;"/>
    <numFmt numFmtId="183" formatCode="\(&quot;₩&quot;#,##0\)"/>
    <numFmt numFmtId="184" formatCode="0_);[Red]\(0\)"/>
    <numFmt numFmtId="185" formatCode="mm&quot;월&quot;\ dd&quot;일&quot;"/>
  </numFmts>
  <fonts count="23">
    <font>
      <sz val="11"/>
      <name val="돋움"/>
      <family val="3"/>
      <charset val="129"/>
    </font>
    <font>
      <sz val="11"/>
      <name val="돋움"/>
      <family val="3"/>
      <charset val="129"/>
    </font>
    <font>
      <sz val="10"/>
      <name val="맑은 고딕"/>
      <family val="3"/>
      <charset val="129"/>
    </font>
    <font>
      <sz val="8"/>
      <name val="돋움"/>
      <family val="3"/>
      <charset val="129"/>
    </font>
    <font>
      <sz val="11"/>
      <name val="맑은 고딕"/>
      <family val="3"/>
      <charset val="129"/>
      <scheme val="minor"/>
    </font>
    <font>
      <sz val="11"/>
      <color rgb="FF000000"/>
      <name val="돋움"/>
      <family val="3"/>
      <charset val="129"/>
    </font>
    <font>
      <sz val="11"/>
      <color rgb="FF000000"/>
      <name val="나눔고딕"/>
      <family val="3"/>
      <charset val="129"/>
    </font>
    <font>
      <sz val="11"/>
      <color rgb="FF0000FF"/>
      <name val="돋움"/>
      <family val="3"/>
      <charset val="129"/>
    </font>
    <font>
      <sz val="11"/>
      <name val="맑은 고딕"/>
      <family val="3"/>
      <charset val="129"/>
    </font>
    <font>
      <b/>
      <sz val="22"/>
      <name val="맑은 고딕"/>
      <family val="3"/>
      <charset val="129"/>
    </font>
    <font>
      <sz val="12"/>
      <name val="맑은 고딕"/>
      <family val="3"/>
      <charset val="129"/>
    </font>
    <font>
      <b/>
      <sz val="11"/>
      <name val="돋움"/>
      <family val="3"/>
      <charset val="129"/>
    </font>
    <font>
      <sz val="12"/>
      <name val="돋움"/>
      <family val="3"/>
      <charset val="129"/>
    </font>
    <font>
      <b/>
      <sz val="18"/>
      <name val="맑은 고딕"/>
      <family val="3"/>
      <charset val="129"/>
    </font>
    <font>
      <b/>
      <sz val="22"/>
      <name val="돋움"/>
      <family val="3"/>
      <charset val="129"/>
    </font>
    <font>
      <sz val="22"/>
      <name val="돋움"/>
      <family val="3"/>
      <charset val="129"/>
    </font>
    <font>
      <sz val="10"/>
      <name val="돋움"/>
      <family val="3"/>
      <charset val="129"/>
    </font>
    <font>
      <b/>
      <sz val="11"/>
      <color rgb="FFFF0000"/>
      <name val="돋움"/>
      <family val="3"/>
      <charset val="129"/>
    </font>
    <font>
      <sz val="9"/>
      <name val="맑은 고딕"/>
      <family val="3"/>
      <charset val="129"/>
    </font>
    <font>
      <sz val="10"/>
      <color indexed="8"/>
      <name val="맑은 고딕"/>
      <family val="3"/>
      <charset val="129"/>
    </font>
    <font>
      <sz val="9"/>
      <name val="돋움"/>
      <family val="3"/>
      <charset val="129"/>
    </font>
    <font>
      <u/>
      <sz val="11"/>
      <color theme="10"/>
      <name val="돋움"/>
      <family val="3"/>
      <charset val="129"/>
    </font>
    <font>
      <sz val="11"/>
      <color indexed="8"/>
      <name val="맑은 고딕"/>
      <family val="3"/>
      <charset val="129"/>
    </font>
  </fonts>
  <fills count="7">
    <fill>
      <patternFill patternType="none"/>
    </fill>
    <fill>
      <patternFill patternType="gray125"/>
    </fill>
    <fill>
      <patternFill patternType="solid">
        <fgColor indexed="31"/>
        <bgColor indexed="64"/>
      </patternFill>
    </fill>
    <fill>
      <patternFill patternType="solid">
        <fgColor indexed="45"/>
        <bgColor indexed="64"/>
      </patternFill>
    </fill>
    <fill>
      <patternFill patternType="solid">
        <fgColor theme="0"/>
        <bgColor indexed="64"/>
      </patternFill>
    </fill>
    <fill>
      <patternFill patternType="solid">
        <fgColor rgb="FFFFC000"/>
        <bgColor indexed="64"/>
      </patternFill>
    </fill>
    <fill>
      <patternFill patternType="solid">
        <fgColor rgb="FFFFFF00"/>
        <bgColor indexed="64"/>
      </patternFill>
    </fill>
  </fills>
  <borders count="17">
    <border>
      <left/>
      <right/>
      <top/>
      <bottom/>
      <diagonal/>
    </border>
    <border>
      <left style="thin">
        <color indexed="64"/>
      </left>
      <right style="thin">
        <color indexed="64"/>
      </right>
      <top style="thin">
        <color indexed="64"/>
      </top>
      <bottom style="thin">
        <color indexed="64"/>
      </bottom>
      <diagonal/>
    </border>
    <border>
      <left style="hair">
        <color indexed="64"/>
      </left>
      <right/>
      <top style="hair">
        <color indexed="64"/>
      </top>
      <bottom style="hair">
        <color indexed="64"/>
      </bottom>
      <diagonal/>
    </border>
    <border>
      <left/>
      <right/>
      <top style="hair">
        <color indexed="64"/>
      </top>
      <bottom style="hair">
        <color indexed="64"/>
      </bottom>
      <diagonal/>
    </border>
    <border>
      <left/>
      <right style="hair">
        <color indexed="64"/>
      </right>
      <top style="hair">
        <color indexed="64"/>
      </top>
      <bottom style="hair">
        <color indexed="64"/>
      </bottom>
      <diagonal/>
    </border>
    <border>
      <left style="hair">
        <color indexed="64"/>
      </left>
      <right style="hair">
        <color indexed="64"/>
      </right>
      <top style="hair">
        <color indexed="64"/>
      </top>
      <bottom style="hair">
        <color indexed="64"/>
      </bottom>
      <diagonal/>
    </border>
    <border>
      <left style="hair">
        <color indexed="64"/>
      </left>
      <right/>
      <top style="hair">
        <color indexed="64"/>
      </top>
      <bottom/>
      <diagonal/>
    </border>
    <border>
      <left/>
      <right/>
      <top style="hair">
        <color indexed="64"/>
      </top>
      <bottom/>
      <diagonal/>
    </border>
    <border>
      <left/>
      <right style="hair">
        <color indexed="64"/>
      </right>
      <top style="hair">
        <color indexed="64"/>
      </top>
      <bottom/>
      <diagonal/>
    </border>
    <border>
      <left style="hair">
        <color indexed="64"/>
      </left>
      <right/>
      <top/>
      <bottom/>
      <diagonal/>
    </border>
    <border>
      <left/>
      <right style="hair">
        <color indexed="64"/>
      </right>
      <top/>
      <bottom/>
      <diagonal/>
    </border>
    <border>
      <left style="hair">
        <color indexed="64"/>
      </left>
      <right/>
      <top/>
      <bottom style="hair">
        <color indexed="64"/>
      </bottom>
      <diagonal/>
    </border>
    <border>
      <left/>
      <right/>
      <top/>
      <bottom style="hair">
        <color indexed="64"/>
      </bottom>
      <diagonal/>
    </border>
    <border>
      <left/>
      <right style="hair">
        <color indexed="64"/>
      </right>
      <top/>
      <bottom style="hair">
        <color indexed="64"/>
      </bottom>
      <diagonal/>
    </border>
    <border>
      <left style="thin">
        <color indexed="64"/>
      </left>
      <right/>
      <top/>
      <bottom/>
      <diagonal/>
    </border>
    <border>
      <left style="hair">
        <color indexed="64"/>
      </left>
      <right style="hair">
        <color indexed="64"/>
      </right>
      <top style="hair">
        <color indexed="64"/>
      </top>
      <bottom/>
      <diagonal/>
    </border>
    <border>
      <left style="hair">
        <color indexed="64"/>
      </left>
      <right style="hair">
        <color indexed="64"/>
      </right>
      <top/>
      <bottom style="hair">
        <color indexed="64"/>
      </bottom>
      <diagonal/>
    </border>
  </borders>
  <cellStyleXfs count="6">
    <xf numFmtId="0" fontId="0" fillId="0" borderId="0"/>
    <xf numFmtId="42" fontId="1" fillId="0" borderId="0" applyFont="0" applyFill="0" applyBorder="0" applyAlignment="0" applyProtection="0"/>
    <xf numFmtId="41" fontId="1" fillId="0" borderId="0" applyFont="0" applyFill="0" applyBorder="0" applyAlignment="0" applyProtection="0"/>
    <xf numFmtId="41" fontId="1" fillId="0" borderId="0" applyFont="0" applyFill="0" applyBorder="0" applyAlignment="0" applyProtection="0"/>
    <xf numFmtId="0" fontId="21" fillId="0" borderId="0" applyNumberFormat="0" applyFill="0" applyBorder="0" applyAlignment="0" applyProtection="0">
      <alignment vertical="top"/>
      <protection locked="0"/>
    </xf>
    <xf numFmtId="41" fontId="1" fillId="0" borderId="0" applyFont="0" applyFill="0" applyBorder="0" applyAlignment="0" applyProtection="0"/>
  </cellStyleXfs>
  <cellXfs count="196">
    <xf numFmtId="0" fontId="0" fillId="0" borderId="0" xfId="0"/>
    <xf numFmtId="0" fontId="2" fillId="2" borderId="1" xfId="0" applyFont="1" applyFill="1" applyBorder="1" applyAlignment="1">
      <alignment horizontal="center" vertical="center"/>
    </xf>
    <xf numFmtId="0" fontId="2" fillId="2" borderId="1" xfId="0" applyFont="1" applyFill="1" applyBorder="1" applyAlignment="1">
      <alignment horizontal="center" vertical="center" shrinkToFit="1"/>
    </xf>
    <xf numFmtId="49" fontId="2" fillId="2" borderId="1" xfId="0" applyNumberFormat="1" applyFont="1" applyFill="1" applyBorder="1" applyAlignment="1">
      <alignment horizontal="center" vertical="center" shrinkToFit="1"/>
    </xf>
    <xf numFmtId="14" fontId="2" fillId="2" borderId="1" xfId="0" quotePrefix="1" applyNumberFormat="1" applyFont="1" applyFill="1" applyBorder="1" applyAlignment="1">
      <alignment horizontal="center" vertical="center"/>
    </xf>
    <xf numFmtId="176" fontId="2" fillId="2" borderId="1" xfId="0" applyNumberFormat="1" applyFont="1" applyFill="1" applyBorder="1" applyAlignment="1">
      <alignment horizontal="center" vertical="center" wrapText="1" shrinkToFit="1"/>
    </xf>
    <xf numFmtId="176" fontId="2" fillId="2" borderId="1" xfId="2" applyNumberFormat="1" applyFont="1" applyFill="1" applyBorder="1" applyAlignment="1">
      <alignment horizontal="center" vertical="center"/>
    </xf>
    <xf numFmtId="0" fontId="2" fillId="3" borderId="1" xfId="0" applyFont="1" applyFill="1" applyBorder="1" applyAlignment="1">
      <alignment horizontal="center" vertical="center" shrinkToFit="1"/>
    </xf>
    <xf numFmtId="0" fontId="4" fillId="4" borderId="1" xfId="0" applyFont="1" applyFill="1" applyBorder="1" applyAlignment="1">
      <alignment horizontal="center" vertical="center" shrinkToFit="1"/>
    </xf>
    <xf numFmtId="14" fontId="0" fillId="0" borderId="1" xfId="0" quotePrefix="1" applyNumberFormat="1" applyBorder="1"/>
    <xf numFmtId="0" fontId="0" fillId="0" borderId="1" xfId="0" applyBorder="1"/>
    <xf numFmtId="3" fontId="0" fillId="0" borderId="1" xfId="0" applyNumberFormat="1" applyBorder="1"/>
    <xf numFmtId="41" fontId="4" fillId="4" borderId="1" xfId="3" applyFont="1" applyFill="1" applyBorder="1" applyAlignment="1">
      <alignment horizontal="center" vertical="center" shrinkToFit="1"/>
    </xf>
    <xf numFmtId="0" fontId="5" fillId="0" borderId="0" xfId="0" applyFont="1"/>
    <xf numFmtId="0" fontId="6" fillId="0" borderId="0" xfId="0" applyFont="1"/>
    <xf numFmtId="0" fontId="0" fillId="0" borderId="0" xfId="0" applyAlignment="1">
      <alignment horizontal="center" vertical="center"/>
    </xf>
    <xf numFmtId="0" fontId="7" fillId="0" borderId="0" xfId="0" applyFont="1"/>
    <xf numFmtId="0" fontId="8" fillId="0" borderId="0" xfId="0" applyFont="1"/>
    <xf numFmtId="0" fontId="8" fillId="0" borderId="0" xfId="0" applyFont="1" applyAlignment="1">
      <alignment vertical="center"/>
    </xf>
    <xf numFmtId="0" fontId="0" fillId="0" borderId="0" xfId="0" applyAlignment="1">
      <alignment vertical="center"/>
    </xf>
    <xf numFmtId="0" fontId="10" fillId="0" borderId="5" xfId="0" applyFont="1" applyBorder="1" applyAlignment="1">
      <alignment horizontal="center" vertical="center"/>
    </xf>
    <xf numFmtId="177" fontId="10" fillId="0" borderId="3" xfId="0" applyNumberFormat="1" applyFont="1" applyBorder="1" applyAlignment="1">
      <alignment horizontal="left" vertical="center"/>
    </xf>
    <xf numFmtId="0" fontId="10" fillId="0" borderId="3" xfId="0" applyFont="1" applyBorder="1" applyAlignment="1">
      <alignment vertical="center"/>
    </xf>
    <xf numFmtId="0" fontId="10" fillId="0" borderId="4" xfId="0" applyFont="1" applyBorder="1" applyAlignment="1">
      <alignment vertical="center"/>
    </xf>
    <xf numFmtId="0" fontId="10" fillId="0" borderId="3" xfId="0" applyFont="1" applyBorder="1" applyAlignment="1">
      <alignment horizontal="right" vertical="center"/>
    </xf>
    <xf numFmtId="178" fontId="10" fillId="0" borderId="3" xfId="0" applyNumberFormat="1" applyFont="1" applyBorder="1" applyAlignment="1">
      <alignment horizontal="right" vertical="center"/>
    </xf>
    <xf numFmtId="0" fontId="10" fillId="0" borderId="3" xfId="0" applyFont="1" applyBorder="1" applyAlignment="1">
      <alignment horizontal="left" vertical="center"/>
    </xf>
    <xf numFmtId="0" fontId="10" fillId="0" borderId="4" xfId="0" applyFont="1" applyBorder="1" applyAlignment="1">
      <alignment horizontal="left" vertical="center"/>
    </xf>
    <xf numFmtId="0" fontId="11" fillId="6" borderId="0" xfId="0" applyFont="1" applyFill="1" applyAlignment="1">
      <alignment vertical="center"/>
    </xf>
    <xf numFmtId="0" fontId="0" fillId="6" borderId="0" xfId="0" applyFill="1" applyAlignment="1">
      <alignment vertical="center"/>
    </xf>
    <xf numFmtId="178" fontId="10" fillId="0" borderId="3" xfId="0" applyNumberFormat="1" applyFont="1" applyBorder="1" applyAlignment="1">
      <alignment vertical="center"/>
    </xf>
    <xf numFmtId="0" fontId="10" fillId="0" borderId="6" xfId="0" applyFont="1" applyBorder="1" applyAlignment="1">
      <alignment vertical="center"/>
    </xf>
    <xf numFmtId="0" fontId="10" fillId="0" borderId="7" xfId="0" applyFont="1" applyBorder="1" applyAlignment="1">
      <alignment vertical="center"/>
    </xf>
    <xf numFmtId="0" fontId="10" fillId="0" borderId="8" xfId="0" applyFont="1" applyBorder="1" applyAlignment="1">
      <alignment vertical="center"/>
    </xf>
    <xf numFmtId="0" fontId="10" fillId="0" borderId="9" xfId="0" applyFont="1" applyBorder="1" applyAlignment="1">
      <alignment vertical="center"/>
    </xf>
    <xf numFmtId="0" fontId="10" fillId="0" borderId="0" xfId="0" applyFont="1" applyAlignment="1">
      <alignment vertical="center"/>
    </xf>
    <xf numFmtId="0" fontId="10" fillId="0" borderId="10" xfId="0" applyFont="1" applyBorder="1" applyAlignment="1">
      <alignment vertical="center"/>
    </xf>
    <xf numFmtId="179" fontId="8" fillId="0" borderId="0" xfId="0" applyNumberFormat="1" applyFont="1" applyAlignment="1">
      <alignment vertical="center"/>
    </xf>
    <xf numFmtId="179" fontId="0" fillId="0" borderId="0" xfId="0" applyNumberFormat="1" applyAlignment="1">
      <alignment vertical="center"/>
    </xf>
    <xf numFmtId="0" fontId="10" fillId="0" borderId="9" xfId="0" applyFont="1" applyBorder="1" applyAlignment="1">
      <alignment horizontal="right" vertical="center"/>
    </xf>
    <xf numFmtId="0" fontId="10" fillId="0" borderId="0" xfId="0" applyFont="1" applyAlignment="1">
      <alignment horizontal="left" vertical="center"/>
    </xf>
    <xf numFmtId="0" fontId="12" fillId="0" borderId="0" xfId="0" applyFont="1" applyAlignment="1">
      <alignment vertical="center"/>
    </xf>
    <xf numFmtId="0" fontId="8" fillId="0" borderId="10" xfId="0" applyFont="1" applyBorder="1" applyAlignment="1">
      <alignment vertical="center"/>
    </xf>
    <xf numFmtId="0" fontId="10" fillId="0" borderId="0" xfId="0" applyFont="1"/>
    <xf numFmtId="0" fontId="10" fillId="0" borderId="10" xfId="0" applyFont="1" applyBorder="1"/>
    <xf numFmtId="0" fontId="10" fillId="0" borderId="9" xfId="0" applyFont="1" applyBorder="1"/>
    <xf numFmtId="0" fontId="8" fillId="0" borderId="9" xfId="0" applyFont="1" applyBorder="1"/>
    <xf numFmtId="0" fontId="8" fillId="0" borderId="10" xfId="0" applyFont="1" applyBorder="1"/>
    <xf numFmtId="0" fontId="0" fillId="0" borderId="11" xfId="0" applyBorder="1"/>
    <xf numFmtId="0" fontId="0" fillId="0" borderId="12" xfId="0" applyBorder="1"/>
    <xf numFmtId="0" fontId="0" fillId="0" borderId="13" xfId="0" applyBorder="1"/>
    <xf numFmtId="0" fontId="14" fillId="0" borderId="0" xfId="0" applyFont="1" applyAlignment="1">
      <alignment horizontal="left" vertical="center"/>
    </xf>
    <xf numFmtId="0" fontId="15" fillId="0" borderId="0" xfId="0" applyFont="1" applyAlignment="1">
      <alignment vertical="center"/>
    </xf>
    <xf numFmtId="0" fontId="8" fillId="0" borderId="5" xfId="0" applyFont="1" applyBorder="1" applyAlignment="1">
      <alignment horizontal="left" vertical="center"/>
    </xf>
    <xf numFmtId="0" fontId="16" fillId="0" borderId="0" xfId="0" applyFont="1" applyAlignment="1">
      <alignment vertical="center"/>
    </xf>
    <xf numFmtId="177" fontId="8" fillId="0" borderId="3" xfId="0" applyNumberFormat="1" applyFont="1" applyBorder="1" applyAlignment="1">
      <alignment horizontal="left" vertical="center"/>
    </xf>
    <xf numFmtId="177" fontId="8" fillId="0" borderId="3" xfId="0" applyNumberFormat="1" applyFont="1" applyBorder="1" applyAlignment="1">
      <alignment horizontal="center" vertical="center"/>
    </xf>
    <xf numFmtId="180" fontId="8" fillId="0" borderId="3" xfId="0" applyNumberFormat="1" applyFont="1" applyBorder="1" applyAlignment="1">
      <alignment horizontal="center" vertical="center"/>
    </xf>
    <xf numFmtId="0" fontId="8" fillId="0" borderId="3" xfId="0" applyFont="1" applyBorder="1" applyAlignment="1">
      <alignment horizontal="center" vertical="center"/>
    </xf>
    <xf numFmtId="0" fontId="8" fillId="0" borderId="3" xfId="0" applyFont="1" applyBorder="1" applyAlignment="1">
      <alignment vertical="center"/>
    </xf>
    <xf numFmtId="180" fontId="8" fillId="0" borderId="4" xfId="0" applyNumberFormat="1" applyFont="1" applyBorder="1" applyAlignment="1">
      <alignment horizontal="center" vertical="center"/>
    </xf>
    <xf numFmtId="180" fontId="0" fillId="0" borderId="0" xfId="0" applyNumberFormat="1" applyAlignment="1">
      <alignment horizontal="center" vertical="center"/>
    </xf>
    <xf numFmtId="0" fontId="0" fillId="0" borderId="0" xfId="0" applyAlignment="1">
      <alignment horizontal="left" vertical="center"/>
    </xf>
    <xf numFmtId="180" fontId="8" fillId="0" borderId="3" xfId="0" applyNumberFormat="1" applyFont="1" applyBorder="1" applyAlignment="1">
      <alignment horizontal="left" vertical="center"/>
    </xf>
    <xf numFmtId="0" fontId="8" fillId="0" borderId="3" xfId="0" applyFont="1" applyBorder="1" applyAlignment="1">
      <alignment horizontal="right" vertical="center"/>
    </xf>
    <xf numFmtId="178" fontId="8" fillId="0" borderId="3" xfId="0" applyNumberFormat="1" applyFont="1" applyBorder="1" applyAlignment="1">
      <alignment vertical="center"/>
    </xf>
    <xf numFmtId="180" fontId="8" fillId="0" borderId="4" xfId="0" applyNumberFormat="1" applyFont="1" applyBorder="1" applyAlignment="1">
      <alignment horizontal="left" vertical="center"/>
    </xf>
    <xf numFmtId="181" fontId="8" fillId="0" borderId="3" xfId="0" applyNumberFormat="1" applyFont="1" applyBorder="1" applyAlignment="1">
      <alignment horizontal="left" vertical="center"/>
    </xf>
    <xf numFmtId="181" fontId="8" fillId="0" borderId="3" xfId="0" applyNumberFormat="1" applyFont="1" applyBorder="1" applyAlignment="1">
      <alignment horizontal="center" vertical="center"/>
    </xf>
    <xf numFmtId="181" fontId="8" fillId="0" borderId="3" xfId="0" applyNumberFormat="1" applyFont="1" applyBorder="1" applyAlignment="1">
      <alignment horizontal="right" vertical="center"/>
    </xf>
    <xf numFmtId="178" fontId="8" fillId="0" borderId="3" xfId="0" applyNumberFormat="1" applyFont="1" applyBorder="1" applyAlignment="1">
      <alignment horizontal="right" vertical="center"/>
    </xf>
    <xf numFmtId="0" fontId="8" fillId="0" borderId="4" xfId="0" applyFont="1" applyBorder="1" applyAlignment="1">
      <alignment horizontal="left" vertical="center"/>
    </xf>
    <xf numFmtId="0" fontId="11" fillId="6" borderId="0" xfId="0" applyFont="1" applyFill="1" applyAlignment="1">
      <alignment horizontal="left" vertical="center"/>
    </xf>
    <xf numFmtId="0" fontId="8" fillId="0" borderId="4" xfId="0" applyFont="1" applyBorder="1" applyAlignment="1">
      <alignment horizontal="center" vertical="center"/>
    </xf>
    <xf numFmtId="0" fontId="8" fillId="0" borderId="2" xfId="0" applyFont="1" applyBorder="1" applyAlignment="1">
      <alignment horizontal="center" vertical="center"/>
    </xf>
    <xf numFmtId="0" fontId="8" fillId="0" borderId="6" xfId="0" applyFont="1" applyBorder="1" applyAlignment="1">
      <alignment horizontal="left" vertical="center"/>
    </xf>
    <xf numFmtId="0" fontId="8" fillId="0" borderId="7" xfId="0" applyFont="1" applyBorder="1" applyAlignment="1">
      <alignment vertical="center"/>
    </xf>
    <xf numFmtId="0" fontId="8" fillId="0" borderId="7" xfId="0" applyFont="1" applyBorder="1" applyAlignment="1">
      <alignment horizontal="center" vertical="center"/>
    </xf>
    <xf numFmtId="0" fontId="8" fillId="0" borderId="8" xfId="0" applyFont="1" applyBorder="1" applyAlignment="1">
      <alignment horizontal="center" vertical="center"/>
    </xf>
    <xf numFmtId="0" fontId="11" fillId="6" borderId="0" xfId="0" applyFont="1" applyFill="1"/>
    <xf numFmtId="0" fontId="0" fillId="6" borderId="0" xfId="0" applyFill="1"/>
    <xf numFmtId="0" fontId="4" fillId="0" borderId="14" xfId="0" applyFont="1" applyBorder="1"/>
    <xf numFmtId="0" fontId="4" fillId="0" borderId="0" xfId="0" applyFont="1"/>
    <xf numFmtId="0" fontId="4" fillId="0" borderId="10" xfId="0" applyFont="1" applyBorder="1"/>
    <xf numFmtId="0" fontId="17" fillId="0" borderId="0" xfId="0" applyFont="1"/>
    <xf numFmtId="179" fontId="0" fillId="0" borderId="0" xfId="0" applyNumberFormat="1" applyAlignment="1">
      <alignment horizontal="center"/>
    </xf>
    <xf numFmtId="179" fontId="0" fillId="0" borderId="0" xfId="0" applyNumberFormat="1"/>
    <xf numFmtId="0" fontId="0" fillId="0" borderId="0" xfId="0" applyAlignment="1">
      <alignment horizontal="center"/>
    </xf>
    <xf numFmtId="0" fontId="8" fillId="0" borderId="9" xfId="0" applyFont="1" applyBorder="1" applyAlignment="1">
      <alignment horizontal="center"/>
    </xf>
    <xf numFmtId="0" fontId="8" fillId="0" borderId="0" xfId="0" applyFont="1" applyAlignment="1">
      <alignment horizontal="center"/>
    </xf>
    <xf numFmtId="0" fontId="8" fillId="0" borderId="10" xfId="0" applyFont="1" applyBorder="1" applyAlignment="1">
      <alignment horizontal="center"/>
    </xf>
    <xf numFmtId="0" fontId="18" fillId="0" borderId="0" xfId="0" applyFont="1"/>
    <xf numFmtId="0" fontId="0" fillId="0" borderId="7" xfId="0" applyBorder="1"/>
    <xf numFmtId="0" fontId="8" fillId="0" borderId="5" xfId="0" applyFont="1" applyBorder="1" applyAlignment="1">
      <alignment horizontal="center" vertical="center"/>
    </xf>
    <xf numFmtId="0" fontId="8" fillId="0" borderId="2" xfId="0" applyFont="1" applyBorder="1" applyAlignment="1">
      <alignment horizontal="left" vertical="center"/>
    </xf>
    <xf numFmtId="0" fontId="8" fillId="0" borderId="4" xfId="0" applyFont="1" applyBorder="1" applyAlignment="1">
      <alignment vertical="center"/>
    </xf>
    <xf numFmtId="0" fontId="20" fillId="0" borderId="0" xfId="0" applyFont="1" applyAlignment="1">
      <alignment vertical="center"/>
    </xf>
    <xf numFmtId="0" fontId="11" fillId="5" borderId="0" xfId="0" applyFont="1" applyFill="1" applyAlignment="1">
      <alignment horizontal="left" vertical="center"/>
    </xf>
    <xf numFmtId="0" fontId="11" fillId="5" borderId="0" xfId="0" applyFont="1" applyFill="1" applyAlignment="1">
      <alignment vertical="center"/>
    </xf>
    <xf numFmtId="0" fontId="8" fillId="0" borderId="3" xfId="0" applyFont="1" applyBorder="1" applyAlignment="1">
      <alignment horizontal="left" vertical="center"/>
    </xf>
    <xf numFmtId="0" fontId="0" fillId="6" borderId="0" xfId="0" applyFill="1" applyAlignment="1">
      <alignment horizontal="left" vertical="center"/>
    </xf>
    <xf numFmtId="0" fontId="8" fillId="0" borderId="6" xfId="0" applyFont="1" applyBorder="1" applyAlignment="1">
      <alignment vertical="center"/>
    </xf>
    <xf numFmtId="0" fontId="8" fillId="0" borderId="7" xfId="0" applyFont="1" applyBorder="1" applyAlignment="1">
      <alignment horizontal="left" vertical="center"/>
    </xf>
    <xf numFmtId="0" fontId="8" fillId="0" borderId="7" xfId="0" applyFont="1" applyBorder="1" applyAlignment="1">
      <alignment vertical="top"/>
    </xf>
    <xf numFmtId="0" fontId="8" fillId="0" borderId="11" xfId="0" applyFont="1" applyBorder="1" applyAlignment="1">
      <alignment horizontal="right" vertical="top"/>
    </xf>
    <xf numFmtId="0" fontId="8" fillId="0" borderId="12" xfId="0" applyFont="1" applyBorder="1" applyAlignment="1">
      <alignment vertical="top"/>
    </xf>
    <xf numFmtId="0" fontId="8" fillId="0" borderId="12" xfId="0" applyFont="1" applyBorder="1" applyAlignment="1">
      <alignment vertical="center"/>
    </xf>
    <xf numFmtId="0" fontId="21" fillId="0" borderId="0" xfId="4" applyAlignment="1" applyProtection="1"/>
    <xf numFmtId="49" fontId="8" fillId="0" borderId="7" xfId="0" applyNumberFormat="1" applyFont="1" applyBorder="1" applyAlignment="1">
      <alignment horizontal="left" vertical="center"/>
    </xf>
    <xf numFmtId="0" fontId="8" fillId="0" borderId="8" xfId="0" applyFont="1" applyBorder="1" applyAlignment="1">
      <alignment vertical="center"/>
    </xf>
    <xf numFmtId="0" fontId="8" fillId="0" borderId="12" xfId="0" applyFont="1" applyBorder="1" applyAlignment="1">
      <alignment horizontal="left" vertical="top"/>
    </xf>
    <xf numFmtId="0" fontId="8" fillId="0" borderId="12" xfId="0" applyFont="1" applyBorder="1" applyAlignment="1">
      <alignment horizontal="left" vertical="center"/>
    </xf>
    <xf numFmtId="0" fontId="8" fillId="0" borderId="13" xfId="0" applyFont="1" applyBorder="1" applyAlignment="1">
      <alignment vertical="center"/>
    </xf>
    <xf numFmtId="0" fontId="8" fillId="0" borderId="6" xfId="0" applyFont="1" applyBorder="1"/>
    <xf numFmtId="0" fontId="8" fillId="0" borderId="7" xfId="0" applyFont="1" applyBorder="1"/>
    <xf numFmtId="0" fontId="8" fillId="0" borderId="8" xfId="0" applyFont="1" applyBorder="1"/>
    <xf numFmtId="0" fontId="2" fillId="0" borderId="9" xfId="0" applyFont="1" applyBorder="1"/>
    <xf numFmtId="0" fontId="2" fillId="0" borderId="0" xfId="0" applyFont="1"/>
    <xf numFmtId="0" fontId="2" fillId="0" borderId="10" xfId="0" applyFont="1" applyBorder="1"/>
    <xf numFmtId="0" fontId="11" fillId="5" borderId="0" xfId="0" applyFont="1" applyFill="1"/>
    <xf numFmtId="0" fontId="8" fillId="0" borderId="0" xfId="0" applyFont="1" applyAlignment="1">
      <alignment horizontal="center" vertical="center"/>
    </xf>
    <xf numFmtId="0" fontId="22" fillId="0" borderId="0" xfId="0" applyFont="1" applyAlignment="1">
      <alignment horizontal="center" vertical="center"/>
    </xf>
    <xf numFmtId="0" fontId="22" fillId="0" borderId="0" xfId="0" applyFont="1" applyAlignment="1">
      <alignment horizontal="center" vertical="center" shrinkToFit="1"/>
    </xf>
    <xf numFmtId="0" fontId="8" fillId="0" borderId="0" xfId="0" applyFont="1" applyAlignment="1">
      <alignment vertical="center" shrinkToFit="1"/>
    </xf>
    <xf numFmtId="41" fontId="22" fillId="0" borderId="0" xfId="0" applyNumberFormat="1" applyFont="1" applyAlignment="1">
      <alignment vertical="center"/>
    </xf>
    <xf numFmtId="0" fontId="2" fillId="0" borderId="0" xfId="0" applyFont="1" applyAlignment="1">
      <alignment horizontal="center" vertical="center" shrinkToFit="1"/>
    </xf>
    <xf numFmtId="0" fontId="2" fillId="0" borderId="0" xfId="0" applyFont="1" applyAlignment="1">
      <alignment horizontal="center" shrinkToFit="1"/>
    </xf>
    <xf numFmtId="0" fontId="2" fillId="0" borderId="0" xfId="0" applyFont="1" applyAlignment="1">
      <alignment horizontal="center" wrapText="1" shrinkToFit="1"/>
    </xf>
    <xf numFmtId="184" fontId="19" fillId="0" borderId="0" xfId="0" applyNumberFormat="1" applyFont="1" applyAlignment="1">
      <alignment horizontal="center" vertical="center" shrinkToFit="1"/>
    </xf>
    <xf numFmtId="0" fontId="2" fillId="6" borderId="0" xfId="0" applyFont="1" applyFill="1" applyAlignment="1">
      <alignment horizontal="center" vertical="center"/>
    </xf>
    <xf numFmtId="14" fontId="2" fillId="6" borderId="0" xfId="0" applyNumberFormat="1" applyFont="1" applyFill="1" applyAlignment="1">
      <alignment horizontal="center" vertical="center"/>
    </xf>
    <xf numFmtId="41" fontId="2" fillId="6" borderId="0" xfId="5" applyFont="1" applyFill="1" applyBorder="1" applyAlignment="1">
      <alignment horizontal="center" vertical="center"/>
    </xf>
    <xf numFmtId="14" fontId="19" fillId="0" borderId="0" xfId="0" applyNumberFormat="1" applyFont="1" applyAlignment="1">
      <alignment horizontal="center" vertical="center"/>
    </xf>
    <xf numFmtId="176" fontId="19" fillId="0" borderId="0" xfId="0" applyNumberFormat="1" applyFont="1" applyAlignment="1">
      <alignment horizontal="center" vertical="center"/>
    </xf>
    <xf numFmtId="0" fontId="19" fillId="0" borderId="0" xfId="0" applyFont="1" applyAlignment="1">
      <alignment horizontal="center" vertical="center"/>
    </xf>
    <xf numFmtId="185" fontId="19" fillId="0" borderId="0" xfId="0" applyNumberFormat="1" applyFont="1" applyAlignment="1">
      <alignment horizontal="center" vertical="center"/>
    </xf>
    <xf numFmtId="185" fontId="19" fillId="0" borderId="0" xfId="0" applyNumberFormat="1" applyFont="1" applyAlignment="1">
      <alignment horizontal="center" vertical="center" shrinkToFit="1"/>
    </xf>
    <xf numFmtId="0" fontId="8" fillId="0" borderId="9" xfId="0" applyFont="1" applyBorder="1" applyAlignment="1">
      <alignment horizontal="right"/>
    </xf>
    <xf numFmtId="0" fontId="8" fillId="0" borderId="0" xfId="0" applyFont="1" applyAlignment="1">
      <alignment horizontal="right"/>
    </xf>
    <xf numFmtId="0" fontId="8" fillId="0" borderId="0" xfId="0" applyFont="1" applyAlignment="1">
      <alignment horizontal="left"/>
    </xf>
    <xf numFmtId="0" fontId="8" fillId="0" borderId="11" xfId="0" applyFont="1" applyBorder="1"/>
    <xf numFmtId="0" fontId="8" fillId="0" borderId="12" xfId="0" applyFont="1" applyBorder="1"/>
    <xf numFmtId="0" fontId="8" fillId="0" borderId="13" xfId="0" applyFont="1" applyBorder="1"/>
    <xf numFmtId="0" fontId="9" fillId="0" borderId="6" xfId="0" applyFont="1" applyBorder="1" applyAlignment="1">
      <alignment horizontal="center" vertical="center"/>
    </xf>
    <xf numFmtId="0" fontId="9" fillId="0" borderId="7" xfId="0" applyFont="1" applyBorder="1" applyAlignment="1">
      <alignment horizontal="center" vertical="center"/>
    </xf>
    <xf numFmtId="0" fontId="9" fillId="0" borderId="8" xfId="0" applyFont="1" applyBorder="1" applyAlignment="1">
      <alignment horizontal="center" vertical="center"/>
    </xf>
    <xf numFmtId="0" fontId="19" fillId="0" borderId="2" xfId="0" applyFont="1" applyBorder="1" applyAlignment="1">
      <alignment horizontal="left" vertical="center"/>
    </xf>
    <xf numFmtId="0" fontId="19" fillId="0" borderId="3" xfId="0" applyFont="1" applyBorder="1" applyAlignment="1">
      <alignment horizontal="left" vertical="center"/>
    </xf>
    <xf numFmtId="177" fontId="8" fillId="0" borderId="2" xfId="0" applyNumberFormat="1" applyFont="1" applyBorder="1" applyAlignment="1">
      <alignment horizontal="center" vertical="center"/>
    </xf>
    <xf numFmtId="177" fontId="8" fillId="0" borderId="3" xfId="0" applyNumberFormat="1" applyFont="1" applyBorder="1" applyAlignment="1">
      <alignment horizontal="center" vertical="center"/>
    </xf>
    <xf numFmtId="182" fontId="8" fillId="0" borderId="3" xfId="0" applyNumberFormat="1" applyFont="1" applyBorder="1" applyAlignment="1">
      <alignment horizontal="center" vertical="center"/>
    </xf>
    <xf numFmtId="0" fontId="8" fillId="0" borderId="15" xfId="0" applyFont="1" applyBorder="1" applyAlignment="1">
      <alignment horizontal="center" vertical="center"/>
    </xf>
    <xf numFmtId="0" fontId="8" fillId="0" borderId="16" xfId="0" applyFont="1" applyBorder="1" applyAlignment="1">
      <alignment horizontal="center" vertical="center"/>
    </xf>
    <xf numFmtId="178" fontId="8" fillId="0" borderId="7" xfId="1" applyNumberFormat="1" applyFont="1" applyBorder="1" applyAlignment="1">
      <alignment horizontal="left" vertical="center"/>
    </xf>
    <xf numFmtId="178" fontId="8" fillId="0" borderId="8" xfId="1" applyNumberFormat="1" applyFont="1" applyBorder="1" applyAlignment="1">
      <alignment horizontal="left" vertical="center"/>
    </xf>
    <xf numFmtId="183" fontId="8" fillId="0" borderId="12" xfId="1" applyNumberFormat="1" applyFont="1" applyBorder="1" applyAlignment="1">
      <alignment horizontal="left" vertical="top"/>
    </xf>
    <xf numFmtId="178" fontId="8" fillId="0" borderId="12" xfId="1" applyNumberFormat="1" applyFont="1" applyBorder="1" applyAlignment="1">
      <alignment horizontal="left" vertical="center"/>
    </xf>
    <xf numFmtId="178" fontId="8" fillId="0" borderId="13" xfId="1" applyNumberFormat="1" applyFont="1" applyBorder="1" applyAlignment="1">
      <alignment horizontal="left" vertical="center"/>
    </xf>
    <xf numFmtId="0" fontId="8" fillId="0" borderId="9" xfId="0" applyFont="1" applyBorder="1" applyAlignment="1">
      <alignment horizontal="left" vertical="center" wrapText="1"/>
    </xf>
    <xf numFmtId="0" fontId="8" fillId="0" borderId="0" xfId="0" applyFont="1" applyAlignment="1">
      <alignment horizontal="left" vertical="center" wrapText="1"/>
    </xf>
    <xf numFmtId="0" fontId="8" fillId="0" borderId="10" xfId="0" applyFont="1" applyBorder="1" applyAlignment="1">
      <alignment horizontal="left" vertical="center" wrapText="1"/>
    </xf>
    <xf numFmtId="177" fontId="8" fillId="0" borderId="9" xfId="0" quotePrefix="1" applyNumberFormat="1" applyFont="1" applyBorder="1" applyAlignment="1">
      <alignment horizontal="center" vertical="center"/>
    </xf>
    <xf numFmtId="177" fontId="8" fillId="0" borderId="0" xfId="0" applyNumberFormat="1" applyFont="1" applyAlignment="1">
      <alignment horizontal="center" vertical="center"/>
    </xf>
    <xf numFmtId="177" fontId="8" fillId="0" borderId="10" xfId="0" applyNumberFormat="1" applyFont="1" applyBorder="1" applyAlignment="1">
      <alignment horizontal="center" vertical="center"/>
    </xf>
    <xf numFmtId="0" fontId="13" fillId="0" borderId="9" xfId="0" applyFont="1" applyBorder="1" applyAlignment="1">
      <alignment horizontal="center"/>
    </xf>
    <xf numFmtId="0" fontId="13" fillId="0" borderId="0" xfId="0" applyFont="1" applyAlignment="1">
      <alignment horizontal="center"/>
    </xf>
    <xf numFmtId="0" fontId="13" fillId="0" borderId="10" xfId="0" applyFont="1" applyBorder="1" applyAlignment="1">
      <alignment horizontal="center"/>
    </xf>
    <xf numFmtId="181" fontId="8" fillId="0" borderId="2" xfId="0" applyNumberFormat="1" applyFont="1" applyBorder="1" applyAlignment="1">
      <alignment horizontal="left" vertical="center"/>
    </xf>
    <xf numFmtId="181" fontId="8" fillId="0" borderId="3" xfId="0" applyNumberFormat="1" applyFont="1" applyBorder="1" applyAlignment="1">
      <alignment horizontal="left" vertical="center"/>
    </xf>
    <xf numFmtId="181" fontId="8" fillId="0" borderId="4" xfId="0" applyNumberFormat="1" applyFont="1" applyBorder="1" applyAlignment="1">
      <alignment horizontal="left" vertical="center"/>
    </xf>
    <xf numFmtId="0" fontId="8" fillId="0" borderId="2" xfId="0" applyFont="1" applyBorder="1" applyAlignment="1">
      <alignment horizontal="center" vertical="center"/>
    </xf>
    <xf numFmtId="0" fontId="8" fillId="0" borderId="3" xfId="0" applyFont="1" applyBorder="1" applyAlignment="1">
      <alignment horizontal="center" vertical="center"/>
    </xf>
    <xf numFmtId="0" fontId="8" fillId="0" borderId="4" xfId="0" applyFont="1" applyBorder="1" applyAlignment="1">
      <alignment horizontal="center" vertical="center"/>
    </xf>
    <xf numFmtId="0" fontId="8" fillId="0" borderId="2" xfId="0" applyFont="1" applyBorder="1" applyAlignment="1">
      <alignment horizontal="left" vertical="center"/>
    </xf>
    <xf numFmtId="0" fontId="8" fillId="0" borderId="3" xfId="0" applyFont="1" applyBorder="1" applyAlignment="1">
      <alignment horizontal="left" vertical="center"/>
    </xf>
    <xf numFmtId="0" fontId="8" fillId="0" borderId="4" xfId="0" applyFont="1" applyBorder="1" applyAlignment="1">
      <alignment horizontal="left" vertical="center"/>
    </xf>
    <xf numFmtId="0" fontId="9" fillId="0" borderId="2" xfId="0" applyFont="1" applyBorder="1" applyAlignment="1">
      <alignment horizontal="center" vertical="center"/>
    </xf>
    <xf numFmtId="0" fontId="9" fillId="0" borderId="3" xfId="0" applyFont="1" applyBorder="1" applyAlignment="1">
      <alignment horizontal="center" vertical="center"/>
    </xf>
    <xf numFmtId="0" fontId="9" fillId="0" borderId="4" xfId="0" applyFont="1" applyBorder="1" applyAlignment="1">
      <alignment horizontal="center" vertical="center"/>
    </xf>
    <xf numFmtId="0" fontId="10" fillId="0" borderId="2" xfId="0" applyFont="1" applyBorder="1" applyAlignment="1">
      <alignment horizontal="left" vertical="center" shrinkToFit="1"/>
    </xf>
    <xf numFmtId="0" fontId="10" fillId="0" borderId="3" xfId="0" applyFont="1" applyBorder="1" applyAlignment="1">
      <alignment horizontal="left" vertical="center" shrinkToFit="1"/>
    </xf>
    <xf numFmtId="0" fontId="10" fillId="0" borderId="4" xfId="0" applyFont="1" applyBorder="1" applyAlignment="1">
      <alignment horizontal="left" vertical="center" shrinkToFit="1"/>
    </xf>
    <xf numFmtId="0" fontId="11" fillId="5" borderId="0" xfId="0" applyFont="1" applyFill="1" applyAlignment="1">
      <alignment horizontal="left" vertical="center" wrapText="1"/>
    </xf>
    <xf numFmtId="177" fontId="10" fillId="0" borderId="9" xfId="0" applyNumberFormat="1" applyFont="1" applyBorder="1" applyAlignment="1">
      <alignment horizontal="center" vertical="center"/>
    </xf>
    <xf numFmtId="177" fontId="10" fillId="0" borderId="0" xfId="0" applyNumberFormat="1" applyFont="1" applyAlignment="1">
      <alignment horizontal="center" vertical="center"/>
    </xf>
    <xf numFmtId="177" fontId="10" fillId="0" borderId="10" xfId="0" applyNumberFormat="1" applyFont="1" applyBorder="1" applyAlignment="1">
      <alignment horizontal="center" vertical="center"/>
    </xf>
    <xf numFmtId="0" fontId="13" fillId="0" borderId="9" xfId="0" applyFont="1" applyBorder="1" applyAlignment="1">
      <alignment horizontal="center" vertical="center"/>
    </xf>
    <xf numFmtId="0" fontId="13" fillId="0" borderId="0" xfId="0" applyFont="1" applyAlignment="1">
      <alignment horizontal="center" vertical="center"/>
    </xf>
    <xf numFmtId="0" fontId="13" fillId="0" borderId="10" xfId="0" applyFont="1" applyBorder="1" applyAlignment="1">
      <alignment horizontal="center" vertical="center"/>
    </xf>
    <xf numFmtId="0" fontId="8" fillId="0" borderId="2" xfId="0" applyFont="1" applyBorder="1" applyAlignment="1">
      <alignment vertical="center" shrinkToFit="1"/>
    </xf>
    <xf numFmtId="0" fontId="0" fillId="0" borderId="3" xfId="0" applyBorder="1" applyAlignment="1">
      <alignment vertical="center"/>
    </xf>
    <xf numFmtId="0" fontId="0" fillId="0" borderId="4" xfId="0" applyBorder="1" applyAlignment="1">
      <alignment vertical="center"/>
    </xf>
    <xf numFmtId="0" fontId="0" fillId="0" borderId="0" xfId="0" applyAlignment="1">
      <alignment horizontal="left" vertical="center" wrapText="1"/>
    </xf>
    <xf numFmtId="49" fontId="8" fillId="0" borderId="9" xfId="0" applyNumberFormat="1" applyFont="1" applyBorder="1" applyAlignment="1">
      <alignment horizontal="center"/>
    </xf>
    <xf numFmtId="49" fontId="8" fillId="0" borderId="0" xfId="0" applyNumberFormat="1" applyFont="1" applyAlignment="1">
      <alignment horizontal="center"/>
    </xf>
    <xf numFmtId="49" fontId="8" fillId="0" borderId="10" xfId="0" applyNumberFormat="1" applyFont="1" applyBorder="1" applyAlignment="1">
      <alignment horizontal="center"/>
    </xf>
  </cellXfs>
  <cellStyles count="6">
    <cellStyle name="쉼표 [0] 10" xfId="3" xr:uid="{EAB1E463-A64A-429C-A821-63CA23E7C8D9}"/>
    <cellStyle name="쉼표 [0] 2" xfId="5" xr:uid="{E4719F8F-2563-4377-9B20-CC9FB0EE8F2C}"/>
    <cellStyle name="쉼표 [0] 4" xfId="2" xr:uid="{97B20966-260D-4027-BF63-B3394C616A7D}"/>
    <cellStyle name="통화 [0]" xfId="1" builtinId="7"/>
    <cellStyle name="표준" xfId="0" builtinId="0"/>
    <cellStyle name="하이퍼링크" xfId="4" builtinId="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externalLink" Target="externalLinks/externalLink1.xml"/><Relationship Id="rId4" Type="http://schemas.openxmlformats.org/officeDocument/2006/relationships/worksheet" Target="worksheets/sheet4.xml"/><Relationship Id="rId9" Type="http://schemas.openxmlformats.org/officeDocument/2006/relationships/calcChain" Target="calcChain.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E:\&#48177;&#50629;1\&#50629;&#47924;\3.%20&#44277;&#49324;&#44288;&#47532;\&#9734;&#44277;&#49324;&#49444;&#44228;&#49436;%20&#50577;&#49885;\&#49548;&#50529;&#44277;&#49324;&#44228;&#50501;&#49436;&#47448;&#50577;&#49885;\&#9733;(&#44277;&#49324;)&#51228;&#48152;%20&#50577;&#49885;.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승락서(7.5%)"/>
      <sheetName val="★자료입력"/>
      <sheetName val="지급각서(7.5%)"/>
      <sheetName val="하자각서(3%)"/>
      <sheetName val="승락서"/>
      <sheetName val="지급각서(15%)"/>
      <sheetName val="하자각서(5%)"/>
      <sheetName val="하자담보기간"/>
      <sheetName val="계약서"/>
      <sheetName val="Sheet1"/>
    </sheetNames>
    <sheetDataSet>
      <sheetData sheetId="0">
        <row r="7">
          <cell r="B7" t="str">
            <v>일금이십만구천이백오십원정</v>
          </cell>
        </row>
        <row r="8">
          <cell r="C8">
            <v>209250</v>
          </cell>
        </row>
      </sheetData>
      <sheetData sheetId="1"/>
      <sheetData sheetId="2"/>
      <sheetData sheetId="3"/>
      <sheetData sheetId="4"/>
      <sheetData sheetId="5"/>
      <sheetData sheetId="6"/>
      <sheetData sheetId="7"/>
      <sheetData sheetId="8"/>
      <sheetData sheetId="9"/>
    </sheetDataSet>
  </externalBook>
</externalLink>
</file>

<file path=xl/theme/theme1.xml><?xml version="1.0" encoding="utf-8"?>
<a:theme xmlns:a="http://schemas.openxmlformats.org/drawingml/2006/main" name="Office 테마">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1A2FB3-9E50-49A0-8B22-1FD4C2B6690A}">
  <sheetPr>
    <tabColor rgb="FFFF0000"/>
  </sheetPr>
  <dimension ref="A1:Y4"/>
  <sheetViews>
    <sheetView zoomScale="85" zoomScaleNormal="85" workbookViewId="0">
      <selection activeCell="D12" sqref="D12"/>
    </sheetView>
  </sheetViews>
  <sheetFormatPr defaultRowHeight="30.75" customHeight="1"/>
  <cols>
    <col min="8" max="8" width="15.5546875" bestFit="1" customWidth="1"/>
    <col min="9" max="9" width="24.6640625" bestFit="1" customWidth="1"/>
    <col min="10" max="10" width="55.77734375" customWidth="1"/>
    <col min="11" max="12" width="11.88671875" bestFit="1" customWidth="1"/>
    <col min="14" max="14" width="13.21875" customWidth="1"/>
    <col min="15" max="15" width="14.33203125" bestFit="1" customWidth="1"/>
    <col min="17" max="17" width="44.5546875" bestFit="1" customWidth="1"/>
    <col min="264" max="264" width="15.5546875" bestFit="1" customWidth="1"/>
    <col min="265" max="265" width="24.6640625" bestFit="1" customWidth="1"/>
    <col min="266" max="266" width="55.77734375" customWidth="1"/>
    <col min="267" max="268" width="11.88671875" bestFit="1" customWidth="1"/>
    <col min="270" max="270" width="13.21875" customWidth="1"/>
    <col min="271" max="271" width="14.33203125" bestFit="1" customWidth="1"/>
    <col min="273" max="273" width="44.5546875" bestFit="1" customWidth="1"/>
    <col min="520" max="520" width="15.5546875" bestFit="1" customWidth="1"/>
    <col min="521" max="521" width="24.6640625" bestFit="1" customWidth="1"/>
    <col min="522" max="522" width="55.77734375" customWidth="1"/>
    <col min="523" max="524" width="11.88671875" bestFit="1" customWidth="1"/>
    <col min="526" max="526" width="13.21875" customWidth="1"/>
    <col min="527" max="527" width="14.33203125" bestFit="1" customWidth="1"/>
    <col min="529" max="529" width="44.5546875" bestFit="1" customWidth="1"/>
    <col min="776" max="776" width="15.5546875" bestFit="1" customWidth="1"/>
    <col min="777" max="777" width="24.6640625" bestFit="1" customWidth="1"/>
    <col min="778" max="778" width="55.77734375" customWidth="1"/>
    <col min="779" max="780" width="11.88671875" bestFit="1" customWidth="1"/>
    <col min="782" max="782" width="13.21875" customWidth="1"/>
    <col min="783" max="783" width="14.33203125" bestFit="1" customWidth="1"/>
    <col min="785" max="785" width="44.5546875" bestFit="1" customWidth="1"/>
    <col min="1032" max="1032" width="15.5546875" bestFit="1" customWidth="1"/>
    <col min="1033" max="1033" width="24.6640625" bestFit="1" customWidth="1"/>
    <col min="1034" max="1034" width="55.77734375" customWidth="1"/>
    <col min="1035" max="1036" width="11.88671875" bestFit="1" customWidth="1"/>
    <col min="1038" max="1038" width="13.21875" customWidth="1"/>
    <col min="1039" max="1039" width="14.33203125" bestFit="1" customWidth="1"/>
    <col min="1041" max="1041" width="44.5546875" bestFit="1" customWidth="1"/>
    <col min="1288" max="1288" width="15.5546875" bestFit="1" customWidth="1"/>
    <col min="1289" max="1289" width="24.6640625" bestFit="1" customWidth="1"/>
    <col min="1290" max="1290" width="55.77734375" customWidth="1"/>
    <col min="1291" max="1292" width="11.88671875" bestFit="1" customWidth="1"/>
    <col min="1294" max="1294" width="13.21875" customWidth="1"/>
    <col min="1295" max="1295" width="14.33203125" bestFit="1" customWidth="1"/>
    <col min="1297" max="1297" width="44.5546875" bestFit="1" customWidth="1"/>
    <col min="1544" max="1544" width="15.5546875" bestFit="1" customWidth="1"/>
    <col min="1545" max="1545" width="24.6640625" bestFit="1" customWidth="1"/>
    <col min="1546" max="1546" width="55.77734375" customWidth="1"/>
    <col min="1547" max="1548" width="11.88671875" bestFit="1" customWidth="1"/>
    <col min="1550" max="1550" width="13.21875" customWidth="1"/>
    <col min="1551" max="1551" width="14.33203125" bestFit="1" customWidth="1"/>
    <col min="1553" max="1553" width="44.5546875" bestFit="1" customWidth="1"/>
    <col min="1800" max="1800" width="15.5546875" bestFit="1" customWidth="1"/>
    <col min="1801" max="1801" width="24.6640625" bestFit="1" customWidth="1"/>
    <col min="1802" max="1802" width="55.77734375" customWidth="1"/>
    <col min="1803" max="1804" width="11.88671875" bestFit="1" customWidth="1"/>
    <col min="1806" max="1806" width="13.21875" customWidth="1"/>
    <col min="1807" max="1807" width="14.33203125" bestFit="1" customWidth="1"/>
    <col min="1809" max="1809" width="44.5546875" bestFit="1" customWidth="1"/>
    <col min="2056" max="2056" width="15.5546875" bestFit="1" customWidth="1"/>
    <col min="2057" max="2057" width="24.6640625" bestFit="1" customWidth="1"/>
    <col min="2058" max="2058" width="55.77734375" customWidth="1"/>
    <col min="2059" max="2060" width="11.88671875" bestFit="1" customWidth="1"/>
    <col min="2062" max="2062" width="13.21875" customWidth="1"/>
    <col min="2063" max="2063" width="14.33203125" bestFit="1" customWidth="1"/>
    <col min="2065" max="2065" width="44.5546875" bestFit="1" customWidth="1"/>
    <col min="2312" max="2312" width="15.5546875" bestFit="1" customWidth="1"/>
    <col min="2313" max="2313" width="24.6640625" bestFit="1" customWidth="1"/>
    <col min="2314" max="2314" width="55.77734375" customWidth="1"/>
    <col min="2315" max="2316" width="11.88671875" bestFit="1" customWidth="1"/>
    <col min="2318" max="2318" width="13.21875" customWidth="1"/>
    <col min="2319" max="2319" width="14.33203125" bestFit="1" customWidth="1"/>
    <col min="2321" max="2321" width="44.5546875" bestFit="1" customWidth="1"/>
    <col min="2568" max="2568" width="15.5546875" bestFit="1" customWidth="1"/>
    <col min="2569" max="2569" width="24.6640625" bestFit="1" customWidth="1"/>
    <col min="2570" max="2570" width="55.77734375" customWidth="1"/>
    <col min="2571" max="2572" width="11.88671875" bestFit="1" customWidth="1"/>
    <col min="2574" max="2574" width="13.21875" customWidth="1"/>
    <col min="2575" max="2575" width="14.33203125" bestFit="1" customWidth="1"/>
    <col min="2577" max="2577" width="44.5546875" bestFit="1" customWidth="1"/>
    <col min="2824" max="2824" width="15.5546875" bestFit="1" customWidth="1"/>
    <col min="2825" max="2825" width="24.6640625" bestFit="1" customWidth="1"/>
    <col min="2826" max="2826" width="55.77734375" customWidth="1"/>
    <col min="2827" max="2828" width="11.88671875" bestFit="1" customWidth="1"/>
    <col min="2830" max="2830" width="13.21875" customWidth="1"/>
    <col min="2831" max="2831" width="14.33203125" bestFit="1" customWidth="1"/>
    <col min="2833" max="2833" width="44.5546875" bestFit="1" customWidth="1"/>
    <col min="3080" max="3080" width="15.5546875" bestFit="1" customWidth="1"/>
    <col min="3081" max="3081" width="24.6640625" bestFit="1" customWidth="1"/>
    <col min="3082" max="3082" width="55.77734375" customWidth="1"/>
    <col min="3083" max="3084" width="11.88671875" bestFit="1" customWidth="1"/>
    <col min="3086" max="3086" width="13.21875" customWidth="1"/>
    <col min="3087" max="3087" width="14.33203125" bestFit="1" customWidth="1"/>
    <col min="3089" max="3089" width="44.5546875" bestFit="1" customWidth="1"/>
    <col min="3336" max="3336" width="15.5546875" bestFit="1" customWidth="1"/>
    <col min="3337" max="3337" width="24.6640625" bestFit="1" customWidth="1"/>
    <col min="3338" max="3338" width="55.77734375" customWidth="1"/>
    <col min="3339" max="3340" width="11.88671875" bestFit="1" customWidth="1"/>
    <col min="3342" max="3342" width="13.21875" customWidth="1"/>
    <col min="3343" max="3343" width="14.33203125" bestFit="1" customWidth="1"/>
    <col min="3345" max="3345" width="44.5546875" bestFit="1" customWidth="1"/>
    <col min="3592" max="3592" width="15.5546875" bestFit="1" customWidth="1"/>
    <col min="3593" max="3593" width="24.6640625" bestFit="1" customWidth="1"/>
    <col min="3594" max="3594" width="55.77734375" customWidth="1"/>
    <col min="3595" max="3596" width="11.88671875" bestFit="1" customWidth="1"/>
    <col min="3598" max="3598" width="13.21875" customWidth="1"/>
    <col min="3599" max="3599" width="14.33203125" bestFit="1" customWidth="1"/>
    <col min="3601" max="3601" width="44.5546875" bestFit="1" customWidth="1"/>
    <col min="3848" max="3848" width="15.5546875" bestFit="1" customWidth="1"/>
    <col min="3849" max="3849" width="24.6640625" bestFit="1" customWidth="1"/>
    <col min="3850" max="3850" width="55.77734375" customWidth="1"/>
    <col min="3851" max="3852" width="11.88671875" bestFit="1" customWidth="1"/>
    <col min="3854" max="3854" width="13.21875" customWidth="1"/>
    <col min="3855" max="3855" width="14.33203125" bestFit="1" customWidth="1"/>
    <col min="3857" max="3857" width="44.5546875" bestFit="1" customWidth="1"/>
    <col min="4104" max="4104" width="15.5546875" bestFit="1" customWidth="1"/>
    <col min="4105" max="4105" width="24.6640625" bestFit="1" customWidth="1"/>
    <col min="4106" max="4106" width="55.77734375" customWidth="1"/>
    <col min="4107" max="4108" width="11.88671875" bestFit="1" customWidth="1"/>
    <col min="4110" max="4110" width="13.21875" customWidth="1"/>
    <col min="4111" max="4111" width="14.33203125" bestFit="1" customWidth="1"/>
    <col min="4113" max="4113" width="44.5546875" bestFit="1" customWidth="1"/>
    <col min="4360" max="4360" width="15.5546875" bestFit="1" customWidth="1"/>
    <col min="4361" max="4361" width="24.6640625" bestFit="1" customWidth="1"/>
    <col min="4362" max="4362" width="55.77734375" customWidth="1"/>
    <col min="4363" max="4364" width="11.88671875" bestFit="1" customWidth="1"/>
    <col min="4366" max="4366" width="13.21875" customWidth="1"/>
    <col min="4367" max="4367" width="14.33203125" bestFit="1" customWidth="1"/>
    <col min="4369" max="4369" width="44.5546875" bestFit="1" customWidth="1"/>
    <col min="4616" max="4616" width="15.5546875" bestFit="1" customWidth="1"/>
    <col min="4617" max="4617" width="24.6640625" bestFit="1" customWidth="1"/>
    <col min="4618" max="4618" width="55.77734375" customWidth="1"/>
    <col min="4619" max="4620" width="11.88671875" bestFit="1" customWidth="1"/>
    <col min="4622" max="4622" width="13.21875" customWidth="1"/>
    <col min="4623" max="4623" width="14.33203125" bestFit="1" customWidth="1"/>
    <col min="4625" max="4625" width="44.5546875" bestFit="1" customWidth="1"/>
    <col min="4872" max="4872" width="15.5546875" bestFit="1" customWidth="1"/>
    <col min="4873" max="4873" width="24.6640625" bestFit="1" customWidth="1"/>
    <col min="4874" max="4874" width="55.77734375" customWidth="1"/>
    <col min="4875" max="4876" width="11.88671875" bestFit="1" customWidth="1"/>
    <col min="4878" max="4878" width="13.21875" customWidth="1"/>
    <col min="4879" max="4879" width="14.33203125" bestFit="1" customWidth="1"/>
    <col min="4881" max="4881" width="44.5546875" bestFit="1" customWidth="1"/>
    <col min="5128" max="5128" width="15.5546875" bestFit="1" customWidth="1"/>
    <col min="5129" max="5129" width="24.6640625" bestFit="1" customWidth="1"/>
    <col min="5130" max="5130" width="55.77734375" customWidth="1"/>
    <col min="5131" max="5132" width="11.88671875" bestFit="1" customWidth="1"/>
    <col min="5134" max="5134" width="13.21875" customWidth="1"/>
    <col min="5135" max="5135" width="14.33203125" bestFit="1" customWidth="1"/>
    <col min="5137" max="5137" width="44.5546875" bestFit="1" customWidth="1"/>
    <col min="5384" max="5384" width="15.5546875" bestFit="1" customWidth="1"/>
    <col min="5385" max="5385" width="24.6640625" bestFit="1" customWidth="1"/>
    <col min="5386" max="5386" width="55.77734375" customWidth="1"/>
    <col min="5387" max="5388" width="11.88671875" bestFit="1" customWidth="1"/>
    <col min="5390" max="5390" width="13.21875" customWidth="1"/>
    <col min="5391" max="5391" width="14.33203125" bestFit="1" customWidth="1"/>
    <col min="5393" max="5393" width="44.5546875" bestFit="1" customWidth="1"/>
    <col min="5640" max="5640" width="15.5546875" bestFit="1" customWidth="1"/>
    <col min="5641" max="5641" width="24.6640625" bestFit="1" customWidth="1"/>
    <col min="5642" max="5642" width="55.77734375" customWidth="1"/>
    <col min="5643" max="5644" width="11.88671875" bestFit="1" customWidth="1"/>
    <col min="5646" max="5646" width="13.21875" customWidth="1"/>
    <col min="5647" max="5647" width="14.33203125" bestFit="1" customWidth="1"/>
    <col min="5649" max="5649" width="44.5546875" bestFit="1" customWidth="1"/>
    <col min="5896" max="5896" width="15.5546875" bestFit="1" customWidth="1"/>
    <col min="5897" max="5897" width="24.6640625" bestFit="1" customWidth="1"/>
    <col min="5898" max="5898" width="55.77734375" customWidth="1"/>
    <col min="5899" max="5900" width="11.88671875" bestFit="1" customWidth="1"/>
    <col min="5902" max="5902" width="13.21875" customWidth="1"/>
    <col min="5903" max="5903" width="14.33203125" bestFit="1" customWidth="1"/>
    <col min="5905" max="5905" width="44.5546875" bestFit="1" customWidth="1"/>
    <col min="6152" max="6152" width="15.5546875" bestFit="1" customWidth="1"/>
    <col min="6153" max="6153" width="24.6640625" bestFit="1" customWidth="1"/>
    <col min="6154" max="6154" width="55.77734375" customWidth="1"/>
    <col min="6155" max="6156" width="11.88671875" bestFit="1" customWidth="1"/>
    <col min="6158" max="6158" width="13.21875" customWidth="1"/>
    <col min="6159" max="6159" width="14.33203125" bestFit="1" customWidth="1"/>
    <col min="6161" max="6161" width="44.5546875" bestFit="1" customWidth="1"/>
    <col min="6408" max="6408" width="15.5546875" bestFit="1" customWidth="1"/>
    <col min="6409" max="6409" width="24.6640625" bestFit="1" customWidth="1"/>
    <col min="6410" max="6410" width="55.77734375" customWidth="1"/>
    <col min="6411" max="6412" width="11.88671875" bestFit="1" customWidth="1"/>
    <col min="6414" max="6414" width="13.21875" customWidth="1"/>
    <col min="6415" max="6415" width="14.33203125" bestFit="1" customWidth="1"/>
    <col min="6417" max="6417" width="44.5546875" bestFit="1" customWidth="1"/>
    <col min="6664" max="6664" width="15.5546875" bestFit="1" customWidth="1"/>
    <col min="6665" max="6665" width="24.6640625" bestFit="1" customWidth="1"/>
    <col min="6666" max="6666" width="55.77734375" customWidth="1"/>
    <col min="6667" max="6668" width="11.88671875" bestFit="1" customWidth="1"/>
    <col min="6670" max="6670" width="13.21875" customWidth="1"/>
    <col min="6671" max="6671" width="14.33203125" bestFit="1" customWidth="1"/>
    <col min="6673" max="6673" width="44.5546875" bestFit="1" customWidth="1"/>
    <col min="6920" max="6920" width="15.5546875" bestFit="1" customWidth="1"/>
    <col min="6921" max="6921" width="24.6640625" bestFit="1" customWidth="1"/>
    <col min="6922" max="6922" width="55.77734375" customWidth="1"/>
    <col min="6923" max="6924" width="11.88671875" bestFit="1" customWidth="1"/>
    <col min="6926" max="6926" width="13.21875" customWidth="1"/>
    <col min="6927" max="6927" width="14.33203125" bestFit="1" customWidth="1"/>
    <col min="6929" max="6929" width="44.5546875" bestFit="1" customWidth="1"/>
    <col min="7176" max="7176" width="15.5546875" bestFit="1" customWidth="1"/>
    <col min="7177" max="7177" width="24.6640625" bestFit="1" customWidth="1"/>
    <col min="7178" max="7178" width="55.77734375" customWidth="1"/>
    <col min="7179" max="7180" width="11.88671875" bestFit="1" customWidth="1"/>
    <col min="7182" max="7182" width="13.21875" customWidth="1"/>
    <col min="7183" max="7183" width="14.33203125" bestFit="1" customWidth="1"/>
    <col min="7185" max="7185" width="44.5546875" bestFit="1" customWidth="1"/>
    <col min="7432" max="7432" width="15.5546875" bestFit="1" customWidth="1"/>
    <col min="7433" max="7433" width="24.6640625" bestFit="1" customWidth="1"/>
    <col min="7434" max="7434" width="55.77734375" customWidth="1"/>
    <col min="7435" max="7436" width="11.88671875" bestFit="1" customWidth="1"/>
    <col min="7438" max="7438" width="13.21875" customWidth="1"/>
    <col min="7439" max="7439" width="14.33203125" bestFit="1" customWidth="1"/>
    <col min="7441" max="7441" width="44.5546875" bestFit="1" customWidth="1"/>
    <col min="7688" max="7688" width="15.5546875" bestFit="1" customWidth="1"/>
    <col min="7689" max="7689" width="24.6640625" bestFit="1" customWidth="1"/>
    <col min="7690" max="7690" width="55.77734375" customWidth="1"/>
    <col min="7691" max="7692" width="11.88671875" bestFit="1" customWidth="1"/>
    <col min="7694" max="7694" width="13.21875" customWidth="1"/>
    <col min="7695" max="7695" width="14.33203125" bestFit="1" customWidth="1"/>
    <col min="7697" max="7697" width="44.5546875" bestFit="1" customWidth="1"/>
    <col min="7944" max="7944" width="15.5546875" bestFit="1" customWidth="1"/>
    <col min="7945" max="7945" width="24.6640625" bestFit="1" customWidth="1"/>
    <col min="7946" max="7946" width="55.77734375" customWidth="1"/>
    <col min="7947" max="7948" width="11.88671875" bestFit="1" customWidth="1"/>
    <col min="7950" max="7950" width="13.21875" customWidth="1"/>
    <col min="7951" max="7951" width="14.33203125" bestFit="1" customWidth="1"/>
    <col min="7953" max="7953" width="44.5546875" bestFit="1" customWidth="1"/>
    <col min="8200" max="8200" width="15.5546875" bestFit="1" customWidth="1"/>
    <col min="8201" max="8201" width="24.6640625" bestFit="1" customWidth="1"/>
    <col min="8202" max="8202" width="55.77734375" customWidth="1"/>
    <col min="8203" max="8204" width="11.88671875" bestFit="1" customWidth="1"/>
    <col min="8206" max="8206" width="13.21875" customWidth="1"/>
    <col min="8207" max="8207" width="14.33203125" bestFit="1" customWidth="1"/>
    <col min="8209" max="8209" width="44.5546875" bestFit="1" customWidth="1"/>
    <col min="8456" max="8456" width="15.5546875" bestFit="1" customWidth="1"/>
    <col min="8457" max="8457" width="24.6640625" bestFit="1" customWidth="1"/>
    <col min="8458" max="8458" width="55.77734375" customWidth="1"/>
    <col min="8459" max="8460" width="11.88671875" bestFit="1" customWidth="1"/>
    <col min="8462" max="8462" width="13.21875" customWidth="1"/>
    <col min="8463" max="8463" width="14.33203125" bestFit="1" customWidth="1"/>
    <col min="8465" max="8465" width="44.5546875" bestFit="1" customWidth="1"/>
    <col min="8712" max="8712" width="15.5546875" bestFit="1" customWidth="1"/>
    <col min="8713" max="8713" width="24.6640625" bestFit="1" customWidth="1"/>
    <col min="8714" max="8714" width="55.77734375" customWidth="1"/>
    <col min="8715" max="8716" width="11.88671875" bestFit="1" customWidth="1"/>
    <col min="8718" max="8718" width="13.21875" customWidth="1"/>
    <col min="8719" max="8719" width="14.33203125" bestFit="1" customWidth="1"/>
    <col min="8721" max="8721" width="44.5546875" bestFit="1" customWidth="1"/>
    <col min="8968" max="8968" width="15.5546875" bestFit="1" customWidth="1"/>
    <col min="8969" max="8969" width="24.6640625" bestFit="1" customWidth="1"/>
    <col min="8970" max="8970" width="55.77734375" customWidth="1"/>
    <col min="8971" max="8972" width="11.88671875" bestFit="1" customWidth="1"/>
    <col min="8974" max="8974" width="13.21875" customWidth="1"/>
    <col min="8975" max="8975" width="14.33203125" bestFit="1" customWidth="1"/>
    <col min="8977" max="8977" width="44.5546875" bestFit="1" customWidth="1"/>
    <col min="9224" max="9224" width="15.5546875" bestFit="1" customWidth="1"/>
    <col min="9225" max="9225" width="24.6640625" bestFit="1" customWidth="1"/>
    <col min="9226" max="9226" width="55.77734375" customWidth="1"/>
    <col min="9227" max="9228" width="11.88671875" bestFit="1" customWidth="1"/>
    <col min="9230" max="9230" width="13.21875" customWidth="1"/>
    <col min="9231" max="9231" width="14.33203125" bestFit="1" customWidth="1"/>
    <col min="9233" max="9233" width="44.5546875" bestFit="1" customWidth="1"/>
    <col min="9480" max="9480" width="15.5546875" bestFit="1" customWidth="1"/>
    <col min="9481" max="9481" width="24.6640625" bestFit="1" customWidth="1"/>
    <col min="9482" max="9482" width="55.77734375" customWidth="1"/>
    <col min="9483" max="9484" width="11.88671875" bestFit="1" customWidth="1"/>
    <col min="9486" max="9486" width="13.21875" customWidth="1"/>
    <col min="9487" max="9487" width="14.33203125" bestFit="1" customWidth="1"/>
    <col min="9489" max="9489" width="44.5546875" bestFit="1" customWidth="1"/>
    <col min="9736" max="9736" width="15.5546875" bestFit="1" customWidth="1"/>
    <col min="9737" max="9737" width="24.6640625" bestFit="1" customWidth="1"/>
    <col min="9738" max="9738" width="55.77734375" customWidth="1"/>
    <col min="9739" max="9740" width="11.88671875" bestFit="1" customWidth="1"/>
    <col min="9742" max="9742" width="13.21875" customWidth="1"/>
    <col min="9743" max="9743" width="14.33203125" bestFit="1" customWidth="1"/>
    <col min="9745" max="9745" width="44.5546875" bestFit="1" customWidth="1"/>
    <col min="9992" max="9992" width="15.5546875" bestFit="1" customWidth="1"/>
    <col min="9993" max="9993" width="24.6640625" bestFit="1" customWidth="1"/>
    <col min="9994" max="9994" width="55.77734375" customWidth="1"/>
    <col min="9995" max="9996" width="11.88671875" bestFit="1" customWidth="1"/>
    <col min="9998" max="9998" width="13.21875" customWidth="1"/>
    <col min="9999" max="9999" width="14.33203125" bestFit="1" customWidth="1"/>
    <col min="10001" max="10001" width="44.5546875" bestFit="1" customWidth="1"/>
    <col min="10248" max="10248" width="15.5546875" bestFit="1" customWidth="1"/>
    <col min="10249" max="10249" width="24.6640625" bestFit="1" customWidth="1"/>
    <col min="10250" max="10250" width="55.77734375" customWidth="1"/>
    <col min="10251" max="10252" width="11.88671875" bestFit="1" customWidth="1"/>
    <col min="10254" max="10254" width="13.21875" customWidth="1"/>
    <col min="10255" max="10255" width="14.33203125" bestFit="1" customWidth="1"/>
    <col min="10257" max="10257" width="44.5546875" bestFit="1" customWidth="1"/>
    <col min="10504" max="10504" width="15.5546875" bestFit="1" customWidth="1"/>
    <col min="10505" max="10505" width="24.6640625" bestFit="1" customWidth="1"/>
    <col min="10506" max="10506" width="55.77734375" customWidth="1"/>
    <col min="10507" max="10508" width="11.88671875" bestFit="1" customWidth="1"/>
    <col min="10510" max="10510" width="13.21875" customWidth="1"/>
    <col min="10511" max="10511" width="14.33203125" bestFit="1" customWidth="1"/>
    <col min="10513" max="10513" width="44.5546875" bestFit="1" customWidth="1"/>
    <col min="10760" max="10760" width="15.5546875" bestFit="1" customWidth="1"/>
    <col min="10761" max="10761" width="24.6640625" bestFit="1" customWidth="1"/>
    <col min="10762" max="10762" width="55.77734375" customWidth="1"/>
    <col min="10763" max="10764" width="11.88671875" bestFit="1" customWidth="1"/>
    <col min="10766" max="10766" width="13.21875" customWidth="1"/>
    <col min="10767" max="10767" width="14.33203125" bestFit="1" customWidth="1"/>
    <col min="10769" max="10769" width="44.5546875" bestFit="1" customWidth="1"/>
    <col min="11016" max="11016" width="15.5546875" bestFit="1" customWidth="1"/>
    <col min="11017" max="11017" width="24.6640625" bestFit="1" customWidth="1"/>
    <col min="11018" max="11018" width="55.77734375" customWidth="1"/>
    <col min="11019" max="11020" width="11.88671875" bestFit="1" customWidth="1"/>
    <col min="11022" max="11022" width="13.21875" customWidth="1"/>
    <col min="11023" max="11023" width="14.33203125" bestFit="1" customWidth="1"/>
    <col min="11025" max="11025" width="44.5546875" bestFit="1" customWidth="1"/>
    <col min="11272" max="11272" width="15.5546875" bestFit="1" customWidth="1"/>
    <col min="11273" max="11273" width="24.6640625" bestFit="1" customWidth="1"/>
    <col min="11274" max="11274" width="55.77734375" customWidth="1"/>
    <col min="11275" max="11276" width="11.88671875" bestFit="1" customWidth="1"/>
    <col min="11278" max="11278" width="13.21875" customWidth="1"/>
    <col min="11279" max="11279" width="14.33203125" bestFit="1" customWidth="1"/>
    <col min="11281" max="11281" width="44.5546875" bestFit="1" customWidth="1"/>
    <col min="11528" max="11528" width="15.5546875" bestFit="1" customWidth="1"/>
    <col min="11529" max="11529" width="24.6640625" bestFit="1" customWidth="1"/>
    <col min="11530" max="11530" width="55.77734375" customWidth="1"/>
    <col min="11531" max="11532" width="11.88671875" bestFit="1" customWidth="1"/>
    <col min="11534" max="11534" width="13.21875" customWidth="1"/>
    <col min="11535" max="11535" width="14.33203125" bestFit="1" customWidth="1"/>
    <col min="11537" max="11537" width="44.5546875" bestFit="1" customWidth="1"/>
    <col min="11784" max="11784" width="15.5546875" bestFit="1" customWidth="1"/>
    <col min="11785" max="11785" width="24.6640625" bestFit="1" customWidth="1"/>
    <col min="11786" max="11786" width="55.77734375" customWidth="1"/>
    <col min="11787" max="11788" width="11.88671875" bestFit="1" customWidth="1"/>
    <col min="11790" max="11790" width="13.21875" customWidth="1"/>
    <col min="11791" max="11791" width="14.33203125" bestFit="1" customWidth="1"/>
    <col min="11793" max="11793" width="44.5546875" bestFit="1" customWidth="1"/>
    <col min="12040" max="12040" width="15.5546875" bestFit="1" customWidth="1"/>
    <col min="12041" max="12041" width="24.6640625" bestFit="1" customWidth="1"/>
    <col min="12042" max="12042" width="55.77734375" customWidth="1"/>
    <col min="12043" max="12044" width="11.88671875" bestFit="1" customWidth="1"/>
    <col min="12046" max="12046" width="13.21875" customWidth="1"/>
    <col min="12047" max="12047" width="14.33203125" bestFit="1" customWidth="1"/>
    <col min="12049" max="12049" width="44.5546875" bestFit="1" customWidth="1"/>
    <col min="12296" max="12296" width="15.5546875" bestFit="1" customWidth="1"/>
    <col min="12297" max="12297" width="24.6640625" bestFit="1" customWidth="1"/>
    <col min="12298" max="12298" width="55.77734375" customWidth="1"/>
    <col min="12299" max="12300" width="11.88671875" bestFit="1" customWidth="1"/>
    <col min="12302" max="12302" width="13.21875" customWidth="1"/>
    <col min="12303" max="12303" width="14.33203125" bestFit="1" customWidth="1"/>
    <col min="12305" max="12305" width="44.5546875" bestFit="1" customWidth="1"/>
    <col min="12552" max="12552" width="15.5546875" bestFit="1" customWidth="1"/>
    <col min="12553" max="12553" width="24.6640625" bestFit="1" customWidth="1"/>
    <col min="12554" max="12554" width="55.77734375" customWidth="1"/>
    <col min="12555" max="12556" width="11.88671875" bestFit="1" customWidth="1"/>
    <col min="12558" max="12558" width="13.21875" customWidth="1"/>
    <col min="12559" max="12559" width="14.33203125" bestFit="1" customWidth="1"/>
    <col min="12561" max="12561" width="44.5546875" bestFit="1" customWidth="1"/>
    <col min="12808" max="12808" width="15.5546875" bestFit="1" customWidth="1"/>
    <col min="12809" max="12809" width="24.6640625" bestFit="1" customWidth="1"/>
    <col min="12810" max="12810" width="55.77734375" customWidth="1"/>
    <col min="12811" max="12812" width="11.88671875" bestFit="1" customWidth="1"/>
    <col min="12814" max="12814" width="13.21875" customWidth="1"/>
    <col min="12815" max="12815" width="14.33203125" bestFit="1" customWidth="1"/>
    <col min="12817" max="12817" width="44.5546875" bestFit="1" customWidth="1"/>
    <col min="13064" max="13064" width="15.5546875" bestFit="1" customWidth="1"/>
    <col min="13065" max="13065" width="24.6640625" bestFit="1" customWidth="1"/>
    <col min="13066" max="13066" width="55.77734375" customWidth="1"/>
    <col min="13067" max="13068" width="11.88671875" bestFit="1" customWidth="1"/>
    <col min="13070" max="13070" width="13.21875" customWidth="1"/>
    <col min="13071" max="13071" width="14.33203125" bestFit="1" customWidth="1"/>
    <col min="13073" max="13073" width="44.5546875" bestFit="1" customWidth="1"/>
    <col min="13320" max="13320" width="15.5546875" bestFit="1" customWidth="1"/>
    <col min="13321" max="13321" width="24.6640625" bestFit="1" customWidth="1"/>
    <col min="13322" max="13322" width="55.77734375" customWidth="1"/>
    <col min="13323" max="13324" width="11.88671875" bestFit="1" customWidth="1"/>
    <col min="13326" max="13326" width="13.21875" customWidth="1"/>
    <col min="13327" max="13327" width="14.33203125" bestFit="1" customWidth="1"/>
    <col min="13329" max="13329" width="44.5546875" bestFit="1" customWidth="1"/>
    <col min="13576" max="13576" width="15.5546875" bestFit="1" customWidth="1"/>
    <col min="13577" max="13577" width="24.6640625" bestFit="1" customWidth="1"/>
    <col min="13578" max="13578" width="55.77734375" customWidth="1"/>
    <col min="13579" max="13580" width="11.88671875" bestFit="1" customWidth="1"/>
    <col min="13582" max="13582" width="13.21875" customWidth="1"/>
    <col min="13583" max="13583" width="14.33203125" bestFit="1" customWidth="1"/>
    <col min="13585" max="13585" width="44.5546875" bestFit="1" customWidth="1"/>
    <col min="13832" max="13832" width="15.5546875" bestFit="1" customWidth="1"/>
    <col min="13833" max="13833" width="24.6640625" bestFit="1" customWidth="1"/>
    <col min="13834" max="13834" width="55.77734375" customWidth="1"/>
    <col min="13835" max="13836" width="11.88671875" bestFit="1" customWidth="1"/>
    <col min="13838" max="13838" width="13.21875" customWidth="1"/>
    <col min="13839" max="13839" width="14.33203125" bestFit="1" customWidth="1"/>
    <col min="13841" max="13841" width="44.5546875" bestFit="1" customWidth="1"/>
    <col min="14088" max="14088" width="15.5546875" bestFit="1" customWidth="1"/>
    <col min="14089" max="14089" width="24.6640625" bestFit="1" customWidth="1"/>
    <col min="14090" max="14090" width="55.77734375" customWidth="1"/>
    <col min="14091" max="14092" width="11.88671875" bestFit="1" customWidth="1"/>
    <col min="14094" max="14094" width="13.21875" customWidth="1"/>
    <col min="14095" max="14095" width="14.33203125" bestFit="1" customWidth="1"/>
    <col min="14097" max="14097" width="44.5546875" bestFit="1" customWidth="1"/>
    <col min="14344" max="14344" width="15.5546875" bestFit="1" customWidth="1"/>
    <col min="14345" max="14345" width="24.6640625" bestFit="1" customWidth="1"/>
    <col min="14346" max="14346" width="55.77734375" customWidth="1"/>
    <col min="14347" max="14348" width="11.88671875" bestFit="1" customWidth="1"/>
    <col min="14350" max="14350" width="13.21875" customWidth="1"/>
    <col min="14351" max="14351" width="14.33203125" bestFit="1" customWidth="1"/>
    <col min="14353" max="14353" width="44.5546875" bestFit="1" customWidth="1"/>
    <col min="14600" max="14600" width="15.5546875" bestFit="1" customWidth="1"/>
    <col min="14601" max="14601" width="24.6640625" bestFit="1" customWidth="1"/>
    <col min="14602" max="14602" width="55.77734375" customWidth="1"/>
    <col min="14603" max="14604" width="11.88671875" bestFit="1" customWidth="1"/>
    <col min="14606" max="14606" width="13.21875" customWidth="1"/>
    <col min="14607" max="14607" width="14.33203125" bestFit="1" customWidth="1"/>
    <col min="14609" max="14609" width="44.5546875" bestFit="1" customWidth="1"/>
    <col min="14856" max="14856" width="15.5546875" bestFit="1" customWidth="1"/>
    <col min="14857" max="14857" width="24.6640625" bestFit="1" customWidth="1"/>
    <col min="14858" max="14858" width="55.77734375" customWidth="1"/>
    <col min="14859" max="14860" width="11.88671875" bestFit="1" customWidth="1"/>
    <col min="14862" max="14862" width="13.21875" customWidth="1"/>
    <col min="14863" max="14863" width="14.33203125" bestFit="1" customWidth="1"/>
    <col min="14865" max="14865" width="44.5546875" bestFit="1" customWidth="1"/>
    <col min="15112" max="15112" width="15.5546875" bestFit="1" customWidth="1"/>
    <col min="15113" max="15113" width="24.6640625" bestFit="1" customWidth="1"/>
    <col min="15114" max="15114" width="55.77734375" customWidth="1"/>
    <col min="15115" max="15116" width="11.88671875" bestFit="1" customWidth="1"/>
    <col min="15118" max="15118" width="13.21875" customWidth="1"/>
    <col min="15119" max="15119" width="14.33203125" bestFit="1" customWidth="1"/>
    <col min="15121" max="15121" width="44.5546875" bestFit="1" customWidth="1"/>
    <col min="15368" max="15368" width="15.5546875" bestFit="1" customWidth="1"/>
    <col min="15369" max="15369" width="24.6640625" bestFit="1" customWidth="1"/>
    <col min="15370" max="15370" width="55.77734375" customWidth="1"/>
    <col min="15371" max="15372" width="11.88671875" bestFit="1" customWidth="1"/>
    <col min="15374" max="15374" width="13.21875" customWidth="1"/>
    <col min="15375" max="15375" width="14.33203125" bestFit="1" customWidth="1"/>
    <col min="15377" max="15377" width="44.5546875" bestFit="1" customWidth="1"/>
    <col min="15624" max="15624" width="15.5546875" bestFit="1" customWidth="1"/>
    <col min="15625" max="15625" width="24.6640625" bestFit="1" customWidth="1"/>
    <col min="15626" max="15626" width="55.77734375" customWidth="1"/>
    <col min="15627" max="15628" width="11.88671875" bestFit="1" customWidth="1"/>
    <col min="15630" max="15630" width="13.21875" customWidth="1"/>
    <col min="15631" max="15631" width="14.33203125" bestFit="1" customWidth="1"/>
    <col min="15633" max="15633" width="44.5546875" bestFit="1" customWidth="1"/>
    <col min="15880" max="15880" width="15.5546875" bestFit="1" customWidth="1"/>
    <col min="15881" max="15881" width="24.6640625" bestFit="1" customWidth="1"/>
    <col min="15882" max="15882" width="55.77734375" customWidth="1"/>
    <col min="15883" max="15884" width="11.88671875" bestFit="1" customWidth="1"/>
    <col min="15886" max="15886" width="13.21875" customWidth="1"/>
    <col min="15887" max="15887" width="14.33203125" bestFit="1" customWidth="1"/>
    <col min="15889" max="15889" width="44.5546875" bestFit="1" customWidth="1"/>
    <col min="16136" max="16136" width="15.5546875" bestFit="1" customWidth="1"/>
    <col min="16137" max="16137" width="24.6640625" bestFit="1" customWidth="1"/>
    <col min="16138" max="16138" width="55.77734375" customWidth="1"/>
    <col min="16139" max="16140" width="11.88671875" bestFit="1" customWidth="1"/>
    <col min="16142" max="16142" width="13.21875" customWidth="1"/>
    <col min="16143" max="16143" width="14.33203125" bestFit="1" customWidth="1"/>
    <col min="16145" max="16145" width="44.5546875" bestFit="1" customWidth="1"/>
  </cols>
  <sheetData>
    <row r="1" spans="1:25" ht="30.75" customHeight="1">
      <c r="A1" s="1" t="s">
        <v>0</v>
      </c>
      <c r="B1" s="1" t="s">
        <v>1</v>
      </c>
      <c r="C1" s="1" t="s">
        <v>2</v>
      </c>
      <c r="D1" s="1" t="s">
        <v>3</v>
      </c>
      <c r="E1" s="2" t="s">
        <v>0</v>
      </c>
      <c r="F1" s="2" t="s">
        <v>4</v>
      </c>
      <c r="G1" s="3" t="s">
        <v>5</v>
      </c>
      <c r="H1" s="4" t="s">
        <v>6</v>
      </c>
      <c r="I1" s="1" t="s">
        <v>7</v>
      </c>
      <c r="J1" s="2" t="s">
        <v>8</v>
      </c>
      <c r="K1" s="5" t="s">
        <v>9</v>
      </c>
      <c r="L1" s="6" t="s">
        <v>10</v>
      </c>
      <c r="M1" s="2" t="s">
        <v>11</v>
      </c>
      <c r="N1" s="7" t="s">
        <v>12</v>
      </c>
      <c r="O1" s="7" t="s">
        <v>13</v>
      </c>
      <c r="P1" s="7" t="s">
        <v>14</v>
      </c>
      <c r="Q1" s="7" t="s">
        <v>15</v>
      </c>
    </row>
    <row r="2" spans="1:25" s="16" customFormat="1" ht="16.5">
      <c r="A2" s="8"/>
      <c r="B2" s="8"/>
      <c r="C2" s="8"/>
      <c r="D2" s="8"/>
      <c r="E2" s="8"/>
      <c r="F2" s="8"/>
      <c r="G2" s="8"/>
      <c r="H2" s="9" t="s">
        <v>16</v>
      </c>
      <c r="I2" s="9" t="s">
        <v>17</v>
      </c>
      <c r="J2" s="10" t="s">
        <v>18</v>
      </c>
      <c r="K2" s="11">
        <v>3111000</v>
      </c>
      <c r="L2" s="12">
        <v>2790000</v>
      </c>
      <c r="M2" s="8" t="s">
        <v>19</v>
      </c>
      <c r="N2" s="10" t="s">
        <v>20</v>
      </c>
      <c r="O2" s="10"/>
      <c r="P2" s="10" t="s">
        <v>21</v>
      </c>
      <c r="Q2" s="10" t="s">
        <v>22</v>
      </c>
      <c r="R2"/>
      <c r="S2" s="13"/>
      <c r="T2" s="13"/>
      <c r="U2" s="13"/>
      <c r="V2" s="14"/>
      <c r="W2"/>
      <c r="X2" s="15"/>
      <c r="Y2"/>
    </row>
    <row r="4" spans="1:25" ht="30.75" customHeight="1">
      <c r="H4" t="s">
        <v>23</v>
      </c>
    </row>
  </sheetData>
  <phoneticPr fontId="3" type="noConversion"/>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22F227-1D03-4E1F-89C0-64D01A366B4A}">
  <sheetPr>
    <tabColor rgb="FFFFFF00"/>
  </sheetPr>
  <dimension ref="A1:BJ39"/>
  <sheetViews>
    <sheetView topLeftCell="A7" zoomScaleNormal="100" zoomScaleSheetLayoutView="100" workbookViewId="0">
      <selection activeCell="K33" sqref="K33"/>
    </sheetView>
  </sheetViews>
  <sheetFormatPr defaultRowHeight="13.5"/>
  <cols>
    <col min="1" max="1" width="13.88671875" customWidth="1"/>
    <col min="2" max="2" width="5.21875" customWidth="1"/>
    <col min="3" max="3" width="2.88671875" bestFit="1" customWidth="1"/>
    <col min="4" max="4" width="7.33203125" customWidth="1"/>
    <col min="5" max="5" width="5.6640625" customWidth="1"/>
    <col min="6" max="6" width="1.33203125" hidden="1" customWidth="1"/>
    <col min="7" max="7" width="5.109375" customWidth="1"/>
    <col min="8" max="8" width="1.109375" customWidth="1"/>
    <col min="9" max="9" width="3.44140625" customWidth="1"/>
    <col min="10" max="10" width="2.88671875" bestFit="1" customWidth="1"/>
    <col min="11" max="11" width="4" customWidth="1"/>
    <col min="12" max="12" width="4.77734375" customWidth="1"/>
    <col min="13" max="13" width="0.44140625" customWidth="1"/>
    <col min="14" max="14" width="7.88671875" customWidth="1"/>
    <col min="15" max="15" width="8.77734375" customWidth="1"/>
    <col min="16" max="16" width="9.109375" customWidth="1"/>
    <col min="17" max="23" width="8.88671875" hidden="1" customWidth="1"/>
    <col min="24" max="24" width="1" customWidth="1"/>
    <col min="257" max="257" width="13.88671875" customWidth="1"/>
    <col min="258" max="258" width="5.21875" customWidth="1"/>
    <col min="259" max="259" width="2.88671875" bestFit="1" customWidth="1"/>
    <col min="260" max="260" width="7.33203125" customWidth="1"/>
    <col min="261" max="261" width="5.6640625" customWidth="1"/>
    <col min="262" max="262" width="0" hidden="1" customWidth="1"/>
    <col min="263" max="263" width="5.109375" customWidth="1"/>
    <col min="264" max="264" width="1.109375" customWidth="1"/>
    <col min="265" max="265" width="3.44140625" customWidth="1"/>
    <col min="266" max="266" width="2.88671875" bestFit="1" customWidth="1"/>
    <col min="267" max="267" width="4" customWidth="1"/>
    <col min="268" max="268" width="4.77734375" customWidth="1"/>
    <col min="269" max="269" width="0.44140625" customWidth="1"/>
    <col min="270" max="270" width="7.88671875" customWidth="1"/>
    <col min="271" max="271" width="8.77734375" customWidth="1"/>
    <col min="272" max="272" width="9.109375" customWidth="1"/>
    <col min="273" max="279" width="0" hidden="1" customWidth="1"/>
    <col min="280" max="280" width="1" customWidth="1"/>
    <col min="513" max="513" width="13.88671875" customWidth="1"/>
    <col min="514" max="514" width="5.21875" customWidth="1"/>
    <col min="515" max="515" width="2.88671875" bestFit="1" customWidth="1"/>
    <col min="516" max="516" width="7.33203125" customWidth="1"/>
    <col min="517" max="517" width="5.6640625" customWidth="1"/>
    <col min="518" max="518" width="0" hidden="1" customWidth="1"/>
    <col min="519" max="519" width="5.109375" customWidth="1"/>
    <col min="520" max="520" width="1.109375" customWidth="1"/>
    <col min="521" max="521" width="3.44140625" customWidth="1"/>
    <col min="522" max="522" width="2.88671875" bestFit="1" customWidth="1"/>
    <col min="523" max="523" width="4" customWidth="1"/>
    <col min="524" max="524" width="4.77734375" customWidth="1"/>
    <col min="525" max="525" width="0.44140625" customWidth="1"/>
    <col min="526" max="526" width="7.88671875" customWidth="1"/>
    <col min="527" max="527" width="8.77734375" customWidth="1"/>
    <col min="528" max="528" width="9.109375" customWidth="1"/>
    <col min="529" max="535" width="0" hidden="1" customWidth="1"/>
    <col min="536" max="536" width="1" customWidth="1"/>
    <col min="769" max="769" width="13.88671875" customWidth="1"/>
    <col min="770" max="770" width="5.21875" customWidth="1"/>
    <col min="771" max="771" width="2.88671875" bestFit="1" customWidth="1"/>
    <col min="772" max="772" width="7.33203125" customWidth="1"/>
    <col min="773" max="773" width="5.6640625" customWidth="1"/>
    <col min="774" max="774" width="0" hidden="1" customWidth="1"/>
    <col min="775" max="775" width="5.109375" customWidth="1"/>
    <col min="776" max="776" width="1.109375" customWidth="1"/>
    <col min="777" max="777" width="3.44140625" customWidth="1"/>
    <col min="778" max="778" width="2.88671875" bestFit="1" customWidth="1"/>
    <col min="779" max="779" width="4" customWidth="1"/>
    <col min="780" max="780" width="4.77734375" customWidth="1"/>
    <col min="781" max="781" width="0.44140625" customWidth="1"/>
    <col min="782" max="782" width="7.88671875" customWidth="1"/>
    <col min="783" max="783" width="8.77734375" customWidth="1"/>
    <col min="784" max="784" width="9.109375" customWidth="1"/>
    <col min="785" max="791" width="0" hidden="1" customWidth="1"/>
    <col min="792" max="792" width="1" customWidth="1"/>
    <col min="1025" max="1025" width="13.88671875" customWidth="1"/>
    <col min="1026" max="1026" width="5.21875" customWidth="1"/>
    <col min="1027" max="1027" width="2.88671875" bestFit="1" customWidth="1"/>
    <col min="1028" max="1028" width="7.33203125" customWidth="1"/>
    <col min="1029" max="1029" width="5.6640625" customWidth="1"/>
    <col min="1030" max="1030" width="0" hidden="1" customWidth="1"/>
    <col min="1031" max="1031" width="5.109375" customWidth="1"/>
    <col min="1032" max="1032" width="1.109375" customWidth="1"/>
    <col min="1033" max="1033" width="3.44140625" customWidth="1"/>
    <col min="1034" max="1034" width="2.88671875" bestFit="1" customWidth="1"/>
    <col min="1035" max="1035" width="4" customWidth="1"/>
    <col min="1036" max="1036" width="4.77734375" customWidth="1"/>
    <col min="1037" max="1037" width="0.44140625" customWidth="1"/>
    <col min="1038" max="1038" width="7.88671875" customWidth="1"/>
    <col min="1039" max="1039" width="8.77734375" customWidth="1"/>
    <col min="1040" max="1040" width="9.109375" customWidth="1"/>
    <col min="1041" max="1047" width="0" hidden="1" customWidth="1"/>
    <col min="1048" max="1048" width="1" customWidth="1"/>
    <col min="1281" max="1281" width="13.88671875" customWidth="1"/>
    <col min="1282" max="1282" width="5.21875" customWidth="1"/>
    <col min="1283" max="1283" width="2.88671875" bestFit="1" customWidth="1"/>
    <col min="1284" max="1284" width="7.33203125" customWidth="1"/>
    <col min="1285" max="1285" width="5.6640625" customWidth="1"/>
    <col min="1286" max="1286" width="0" hidden="1" customWidth="1"/>
    <col min="1287" max="1287" width="5.109375" customWidth="1"/>
    <col min="1288" max="1288" width="1.109375" customWidth="1"/>
    <col min="1289" max="1289" width="3.44140625" customWidth="1"/>
    <col min="1290" max="1290" width="2.88671875" bestFit="1" customWidth="1"/>
    <col min="1291" max="1291" width="4" customWidth="1"/>
    <col min="1292" max="1292" width="4.77734375" customWidth="1"/>
    <col min="1293" max="1293" width="0.44140625" customWidth="1"/>
    <col min="1294" max="1294" width="7.88671875" customWidth="1"/>
    <col min="1295" max="1295" width="8.77734375" customWidth="1"/>
    <col min="1296" max="1296" width="9.109375" customWidth="1"/>
    <col min="1297" max="1303" width="0" hidden="1" customWidth="1"/>
    <col min="1304" max="1304" width="1" customWidth="1"/>
    <col min="1537" max="1537" width="13.88671875" customWidth="1"/>
    <col min="1538" max="1538" width="5.21875" customWidth="1"/>
    <col min="1539" max="1539" width="2.88671875" bestFit="1" customWidth="1"/>
    <col min="1540" max="1540" width="7.33203125" customWidth="1"/>
    <col min="1541" max="1541" width="5.6640625" customWidth="1"/>
    <col min="1542" max="1542" width="0" hidden="1" customWidth="1"/>
    <col min="1543" max="1543" width="5.109375" customWidth="1"/>
    <col min="1544" max="1544" width="1.109375" customWidth="1"/>
    <col min="1545" max="1545" width="3.44140625" customWidth="1"/>
    <col min="1546" max="1546" width="2.88671875" bestFit="1" customWidth="1"/>
    <col min="1547" max="1547" width="4" customWidth="1"/>
    <col min="1548" max="1548" width="4.77734375" customWidth="1"/>
    <col min="1549" max="1549" width="0.44140625" customWidth="1"/>
    <col min="1550" max="1550" width="7.88671875" customWidth="1"/>
    <col min="1551" max="1551" width="8.77734375" customWidth="1"/>
    <col min="1552" max="1552" width="9.109375" customWidth="1"/>
    <col min="1553" max="1559" width="0" hidden="1" customWidth="1"/>
    <col min="1560" max="1560" width="1" customWidth="1"/>
    <col min="1793" max="1793" width="13.88671875" customWidth="1"/>
    <col min="1794" max="1794" width="5.21875" customWidth="1"/>
    <col min="1795" max="1795" width="2.88671875" bestFit="1" customWidth="1"/>
    <col min="1796" max="1796" width="7.33203125" customWidth="1"/>
    <col min="1797" max="1797" width="5.6640625" customWidth="1"/>
    <col min="1798" max="1798" width="0" hidden="1" customWidth="1"/>
    <col min="1799" max="1799" width="5.109375" customWidth="1"/>
    <col min="1800" max="1800" width="1.109375" customWidth="1"/>
    <col min="1801" max="1801" width="3.44140625" customWidth="1"/>
    <col min="1802" max="1802" width="2.88671875" bestFit="1" customWidth="1"/>
    <col min="1803" max="1803" width="4" customWidth="1"/>
    <col min="1804" max="1804" width="4.77734375" customWidth="1"/>
    <col min="1805" max="1805" width="0.44140625" customWidth="1"/>
    <col min="1806" max="1806" width="7.88671875" customWidth="1"/>
    <col min="1807" max="1807" width="8.77734375" customWidth="1"/>
    <col min="1808" max="1808" width="9.109375" customWidth="1"/>
    <col min="1809" max="1815" width="0" hidden="1" customWidth="1"/>
    <col min="1816" max="1816" width="1" customWidth="1"/>
    <col min="2049" max="2049" width="13.88671875" customWidth="1"/>
    <col min="2050" max="2050" width="5.21875" customWidth="1"/>
    <col min="2051" max="2051" width="2.88671875" bestFit="1" customWidth="1"/>
    <col min="2052" max="2052" width="7.33203125" customWidth="1"/>
    <col min="2053" max="2053" width="5.6640625" customWidth="1"/>
    <col min="2054" max="2054" width="0" hidden="1" customWidth="1"/>
    <col min="2055" max="2055" width="5.109375" customWidth="1"/>
    <col min="2056" max="2056" width="1.109375" customWidth="1"/>
    <col min="2057" max="2057" width="3.44140625" customWidth="1"/>
    <col min="2058" max="2058" width="2.88671875" bestFit="1" customWidth="1"/>
    <col min="2059" max="2059" width="4" customWidth="1"/>
    <col min="2060" max="2060" width="4.77734375" customWidth="1"/>
    <col min="2061" max="2061" width="0.44140625" customWidth="1"/>
    <col min="2062" max="2062" width="7.88671875" customWidth="1"/>
    <col min="2063" max="2063" width="8.77734375" customWidth="1"/>
    <col min="2064" max="2064" width="9.109375" customWidth="1"/>
    <col min="2065" max="2071" width="0" hidden="1" customWidth="1"/>
    <col min="2072" max="2072" width="1" customWidth="1"/>
    <col min="2305" max="2305" width="13.88671875" customWidth="1"/>
    <col min="2306" max="2306" width="5.21875" customWidth="1"/>
    <col min="2307" max="2307" width="2.88671875" bestFit="1" customWidth="1"/>
    <col min="2308" max="2308" width="7.33203125" customWidth="1"/>
    <col min="2309" max="2309" width="5.6640625" customWidth="1"/>
    <col min="2310" max="2310" width="0" hidden="1" customWidth="1"/>
    <col min="2311" max="2311" width="5.109375" customWidth="1"/>
    <col min="2312" max="2312" width="1.109375" customWidth="1"/>
    <col min="2313" max="2313" width="3.44140625" customWidth="1"/>
    <col min="2314" max="2314" width="2.88671875" bestFit="1" customWidth="1"/>
    <col min="2315" max="2315" width="4" customWidth="1"/>
    <col min="2316" max="2316" width="4.77734375" customWidth="1"/>
    <col min="2317" max="2317" width="0.44140625" customWidth="1"/>
    <col min="2318" max="2318" width="7.88671875" customWidth="1"/>
    <col min="2319" max="2319" width="8.77734375" customWidth="1"/>
    <col min="2320" max="2320" width="9.109375" customWidth="1"/>
    <col min="2321" max="2327" width="0" hidden="1" customWidth="1"/>
    <col min="2328" max="2328" width="1" customWidth="1"/>
    <col min="2561" max="2561" width="13.88671875" customWidth="1"/>
    <col min="2562" max="2562" width="5.21875" customWidth="1"/>
    <col min="2563" max="2563" width="2.88671875" bestFit="1" customWidth="1"/>
    <col min="2564" max="2564" width="7.33203125" customWidth="1"/>
    <col min="2565" max="2565" width="5.6640625" customWidth="1"/>
    <col min="2566" max="2566" width="0" hidden="1" customWidth="1"/>
    <col min="2567" max="2567" width="5.109375" customWidth="1"/>
    <col min="2568" max="2568" width="1.109375" customWidth="1"/>
    <col min="2569" max="2569" width="3.44140625" customWidth="1"/>
    <col min="2570" max="2570" width="2.88671875" bestFit="1" customWidth="1"/>
    <col min="2571" max="2571" width="4" customWidth="1"/>
    <col min="2572" max="2572" width="4.77734375" customWidth="1"/>
    <col min="2573" max="2573" width="0.44140625" customWidth="1"/>
    <col min="2574" max="2574" width="7.88671875" customWidth="1"/>
    <col min="2575" max="2575" width="8.77734375" customWidth="1"/>
    <col min="2576" max="2576" width="9.109375" customWidth="1"/>
    <col min="2577" max="2583" width="0" hidden="1" customWidth="1"/>
    <col min="2584" max="2584" width="1" customWidth="1"/>
    <col min="2817" max="2817" width="13.88671875" customWidth="1"/>
    <col min="2818" max="2818" width="5.21875" customWidth="1"/>
    <col min="2819" max="2819" width="2.88671875" bestFit="1" customWidth="1"/>
    <col min="2820" max="2820" width="7.33203125" customWidth="1"/>
    <col min="2821" max="2821" width="5.6640625" customWidth="1"/>
    <col min="2822" max="2822" width="0" hidden="1" customWidth="1"/>
    <col min="2823" max="2823" width="5.109375" customWidth="1"/>
    <col min="2824" max="2824" width="1.109375" customWidth="1"/>
    <col min="2825" max="2825" width="3.44140625" customWidth="1"/>
    <col min="2826" max="2826" width="2.88671875" bestFit="1" customWidth="1"/>
    <col min="2827" max="2827" width="4" customWidth="1"/>
    <col min="2828" max="2828" width="4.77734375" customWidth="1"/>
    <col min="2829" max="2829" width="0.44140625" customWidth="1"/>
    <col min="2830" max="2830" width="7.88671875" customWidth="1"/>
    <col min="2831" max="2831" width="8.77734375" customWidth="1"/>
    <col min="2832" max="2832" width="9.109375" customWidth="1"/>
    <col min="2833" max="2839" width="0" hidden="1" customWidth="1"/>
    <col min="2840" max="2840" width="1" customWidth="1"/>
    <col min="3073" max="3073" width="13.88671875" customWidth="1"/>
    <col min="3074" max="3074" width="5.21875" customWidth="1"/>
    <col min="3075" max="3075" width="2.88671875" bestFit="1" customWidth="1"/>
    <col min="3076" max="3076" width="7.33203125" customWidth="1"/>
    <col min="3077" max="3077" width="5.6640625" customWidth="1"/>
    <col min="3078" max="3078" width="0" hidden="1" customWidth="1"/>
    <col min="3079" max="3079" width="5.109375" customWidth="1"/>
    <col min="3080" max="3080" width="1.109375" customWidth="1"/>
    <col min="3081" max="3081" width="3.44140625" customWidth="1"/>
    <col min="3082" max="3082" width="2.88671875" bestFit="1" customWidth="1"/>
    <col min="3083" max="3083" width="4" customWidth="1"/>
    <col min="3084" max="3084" width="4.77734375" customWidth="1"/>
    <col min="3085" max="3085" width="0.44140625" customWidth="1"/>
    <col min="3086" max="3086" width="7.88671875" customWidth="1"/>
    <col min="3087" max="3087" width="8.77734375" customWidth="1"/>
    <col min="3088" max="3088" width="9.109375" customWidth="1"/>
    <col min="3089" max="3095" width="0" hidden="1" customWidth="1"/>
    <col min="3096" max="3096" width="1" customWidth="1"/>
    <col min="3329" max="3329" width="13.88671875" customWidth="1"/>
    <col min="3330" max="3330" width="5.21875" customWidth="1"/>
    <col min="3331" max="3331" width="2.88671875" bestFit="1" customWidth="1"/>
    <col min="3332" max="3332" width="7.33203125" customWidth="1"/>
    <col min="3333" max="3333" width="5.6640625" customWidth="1"/>
    <col min="3334" max="3334" width="0" hidden="1" customWidth="1"/>
    <col min="3335" max="3335" width="5.109375" customWidth="1"/>
    <col min="3336" max="3336" width="1.109375" customWidth="1"/>
    <col min="3337" max="3337" width="3.44140625" customWidth="1"/>
    <col min="3338" max="3338" width="2.88671875" bestFit="1" customWidth="1"/>
    <col min="3339" max="3339" width="4" customWidth="1"/>
    <col min="3340" max="3340" width="4.77734375" customWidth="1"/>
    <col min="3341" max="3341" width="0.44140625" customWidth="1"/>
    <col min="3342" max="3342" width="7.88671875" customWidth="1"/>
    <col min="3343" max="3343" width="8.77734375" customWidth="1"/>
    <col min="3344" max="3344" width="9.109375" customWidth="1"/>
    <col min="3345" max="3351" width="0" hidden="1" customWidth="1"/>
    <col min="3352" max="3352" width="1" customWidth="1"/>
    <col min="3585" max="3585" width="13.88671875" customWidth="1"/>
    <col min="3586" max="3586" width="5.21875" customWidth="1"/>
    <col min="3587" max="3587" width="2.88671875" bestFit="1" customWidth="1"/>
    <col min="3588" max="3588" width="7.33203125" customWidth="1"/>
    <col min="3589" max="3589" width="5.6640625" customWidth="1"/>
    <col min="3590" max="3590" width="0" hidden="1" customWidth="1"/>
    <col min="3591" max="3591" width="5.109375" customWidth="1"/>
    <col min="3592" max="3592" width="1.109375" customWidth="1"/>
    <col min="3593" max="3593" width="3.44140625" customWidth="1"/>
    <col min="3594" max="3594" width="2.88671875" bestFit="1" customWidth="1"/>
    <col min="3595" max="3595" width="4" customWidth="1"/>
    <col min="3596" max="3596" width="4.77734375" customWidth="1"/>
    <col min="3597" max="3597" width="0.44140625" customWidth="1"/>
    <col min="3598" max="3598" width="7.88671875" customWidth="1"/>
    <col min="3599" max="3599" width="8.77734375" customWidth="1"/>
    <col min="3600" max="3600" width="9.109375" customWidth="1"/>
    <col min="3601" max="3607" width="0" hidden="1" customWidth="1"/>
    <col min="3608" max="3608" width="1" customWidth="1"/>
    <col min="3841" max="3841" width="13.88671875" customWidth="1"/>
    <col min="3842" max="3842" width="5.21875" customWidth="1"/>
    <col min="3843" max="3843" width="2.88671875" bestFit="1" customWidth="1"/>
    <col min="3844" max="3844" width="7.33203125" customWidth="1"/>
    <col min="3845" max="3845" width="5.6640625" customWidth="1"/>
    <col min="3846" max="3846" width="0" hidden="1" customWidth="1"/>
    <col min="3847" max="3847" width="5.109375" customWidth="1"/>
    <col min="3848" max="3848" width="1.109375" customWidth="1"/>
    <col min="3849" max="3849" width="3.44140625" customWidth="1"/>
    <col min="3850" max="3850" width="2.88671875" bestFit="1" customWidth="1"/>
    <col min="3851" max="3851" width="4" customWidth="1"/>
    <col min="3852" max="3852" width="4.77734375" customWidth="1"/>
    <col min="3853" max="3853" width="0.44140625" customWidth="1"/>
    <col min="3854" max="3854" width="7.88671875" customWidth="1"/>
    <col min="3855" max="3855" width="8.77734375" customWidth="1"/>
    <col min="3856" max="3856" width="9.109375" customWidth="1"/>
    <col min="3857" max="3863" width="0" hidden="1" customWidth="1"/>
    <col min="3864" max="3864" width="1" customWidth="1"/>
    <col min="4097" max="4097" width="13.88671875" customWidth="1"/>
    <col min="4098" max="4098" width="5.21875" customWidth="1"/>
    <col min="4099" max="4099" width="2.88671875" bestFit="1" customWidth="1"/>
    <col min="4100" max="4100" width="7.33203125" customWidth="1"/>
    <col min="4101" max="4101" width="5.6640625" customWidth="1"/>
    <col min="4102" max="4102" width="0" hidden="1" customWidth="1"/>
    <col min="4103" max="4103" width="5.109375" customWidth="1"/>
    <col min="4104" max="4104" width="1.109375" customWidth="1"/>
    <col min="4105" max="4105" width="3.44140625" customWidth="1"/>
    <col min="4106" max="4106" width="2.88671875" bestFit="1" customWidth="1"/>
    <col min="4107" max="4107" width="4" customWidth="1"/>
    <col min="4108" max="4108" width="4.77734375" customWidth="1"/>
    <col min="4109" max="4109" width="0.44140625" customWidth="1"/>
    <col min="4110" max="4110" width="7.88671875" customWidth="1"/>
    <col min="4111" max="4111" width="8.77734375" customWidth="1"/>
    <col min="4112" max="4112" width="9.109375" customWidth="1"/>
    <col min="4113" max="4119" width="0" hidden="1" customWidth="1"/>
    <col min="4120" max="4120" width="1" customWidth="1"/>
    <col min="4353" max="4353" width="13.88671875" customWidth="1"/>
    <col min="4354" max="4354" width="5.21875" customWidth="1"/>
    <col min="4355" max="4355" width="2.88671875" bestFit="1" customWidth="1"/>
    <col min="4356" max="4356" width="7.33203125" customWidth="1"/>
    <col min="4357" max="4357" width="5.6640625" customWidth="1"/>
    <col min="4358" max="4358" width="0" hidden="1" customWidth="1"/>
    <col min="4359" max="4359" width="5.109375" customWidth="1"/>
    <col min="4360" max="4360" width="1.109375" customWidth="1"/>
    <col min="4361" max="4361" width="3.44140625" customWidth="1"/>
    <col min="4362" max="4362" width="2.88671875" bestFit="1" customWidth="1"/>
    <col min="4363" max="4363" width="4" customWidth="1"/>
    <col min="4364" max="4364" width="4.77734375" customWidth="1"/>
    <col min="4365" max="4365" width="0.44140625" customWidth="1"/>
    <col min="4366" max="4366" width="7.88671875" customWidth="1"/>
    <col min="4367" max="4367" width="8.77734375" customWidth="1"/>
    <col min="4368" max="4368" width="9.109375" customWidth="1"/>
    <col min="4369" max="4375" width="0" hidden="1" customWidth="1"/>
    <col min="4376" max="4376" width="1" customWidth="1"/>
    <col min="4609" max="4609" width="13.88671875" customWidth="1"/>
    <col min="4610" max="4610" width="5.21875" customWidth="1"/>
    <col min="4611" max="4611" width="2.88671875" bestFit="1" customWidth="1"/>
    <col min="4612" max="4612" width="7.33203125" customWidth="1"/>
    <col min="4613" max="4613" width="5.6640625" customWidth="1"/>
    <col min="4614" max="4614" width="0" hidden="1" customWidth="1"/>
    <col min="4615" max="4615" width="5.109375" customWidth="1"/>
    <col min="4616" max="4616" width="1.109375" customWidth="1"/>
    <col min="4617" max="4617" width="3.44140625" customWidth="1"/>
    <col min="4618" max="4618" width="2.88671875" bestFit="1" customWidth="1"/>
    <col min="4619" max="4619" width="4" customWidth="1"/>
    <col min="4620" max="4620" width="4.77734375" customWidth="1"/>
    <col min="4621" max="4621" width="0.44140625" customWidth="1"/>
    <col min="4622" max="4622" width="7.88671875" customWidth="1"/>
    <col min="4623" max="4623" width="8.77734375" customWidth="1"/>
    <col min="4624" max="4624" width="9.109375" customWidth="1"/>
    <col min="4625" max="4631" width="0" hidden="1" customWidth="1"/>
    <col min="4632" max="4632" width="1" customWidth="1"/>
    <col min="4865" max="4865" width="13.88671875" customWidth="1"/>
    <col min="4866" max="4866" width="5.21875" customWidth="1"/>
    <col min="4867" max="4867" width="2.88671875" bestFit="1" customWidth="1"/>
    <col min="4868" max="4868" width="7.33203125" customWidth="1"/>
    <col min="4869" max="4869" width="5.6640625" customWidth="1"/>
    <col min="4870" max="4870" width="0" hidden="1" customWidth="1"/>
    <col min="4871" max="4871" width="5.109375" customWidth="1"/>
    <col min="4872" max="4872" width="1.109375" customWidth="1"/>
    <col min="4873" max="4873" width="3.44140625" customWidth="1"/>
    <col min="4874" max="4874" width="2.88671875" bestFit="1" customWidth="1"/>
    <col min="4875" max="4875" width="4" customWidth="1"/>
    <col min="4876" max="4876" width="4.77734375" customWidth="1"/>
    <col min="4877" max="4877" width="0.44140625" customWidth="1"/>
    <col min="4878" max="4878" width="7.88671875" customWidth="1"/>
    <col min="4879" max="4879" width="8.77734375" customWidth="1"/>
    <col min="4880" max="4880" width="9.109375" customWidth="1"/>
    <col min="4881" max="4887" width="0" hidden="1" customWidth="1"/>
    <col min="4888" max="4888" width="1" customWidth="1"/>
    <col min="5121" max="5121" width="13.88671875" customWidth="1"/>
    <col min="5122" max="5122" width="5.21875" customWidth="1"/>
    <col min="5123" max="5123" width="2.88671875" bestFit="1" customWidth="1"/>
    <col min="5124" max="5124" width="7.33203125" customWidth="1"/>
    <col min="5125" max="5125" width="5.6640625" customWidth="1"/>
    <col min="5126" max="5126" width="0" hidden="1" customWidth="1"/>
    <col min="5127" max="5127" width="5.109375" customWidth="1"/>
    <col min="5128" max="5128" width="1.109375" customWidth="1"/>
    <col min="5129" max="5129" width="3.44140625" customWidth="1"/>
    <col min="5130" max="5130" width="2.88671875" bestFit="1" customWidth="1"/>
    <col min="5131" max="5131" width="4" customWidth="1"/>
    <col min="5132" max="5132" width="4.77734375" customWidth="1"/>
    <col min="5133" max="5133" width="0.44140625" customWidth="1"/>
    <col min="5134" max="5134" width="7.88671875" customWidth="1"/>
    <col min="5135" max="5135" width="8.77734375" customWidth="1"/>
    <col min="5136" max="5136" width="9.109375" customWidth="1"/>
    <col min="5137" max="5143" width="0" hidden="1" customWidth="1"/>
    <col min="5144" max="5144" width="1" customWidth="1"/>
    <col min="5377" max="5377" width="13.88671875" customWidth="1"/>
    <col min="5378" max="5378" width="5.21875" customWidth="1"/>
    <col min="5379" max="5379" width="2.88671875" bestFit="1" customWidth="1"/>
    <col min="5380" max="5380" width="7.33203125" customWidth="1"/>
    <col min="5381" max="5381" width="5.6640625" customWidth="1"/>
    <col min="5382" max="5382" width="0" hidden="1" customWidth="1"/>
    <col min="5383" max="5383" width="5.109375" customWidth="1"/>
    <col min="5384" max="5384" width="1.109375" customWidth="1"/>
    <col min="5385" max="5385" width="3.44140625" customWidth="1"/>
    <col min="5386" max="5386" width="2.88671875" bestFit="1" customWidth="1"/>
    <col min="5387" max="5387" width="4" customWidth="1"/>
    <col min="5388" max="5388" width="4.77734375" customWidth="1"/>
    <col min="5389" max="5389" width="0.44140625" customWidth="1"/>
    <col min="5390" max="5390" width="7.88671875" customWidth="1"/>
    <col min="5391" max="5391" width="8.77734375" customWidth="1"/>
    <col min="5392" max="5392" width="9.109375" customWidth="1"/>
    <col min="5393" max="5399" width="0" hidden="1" customWidth="1"/>
    <col min="5400" max="5400" width="1" customWidth="1"/>
    <col min="5633" max="5633" width="13.88671875" customWidth="1"/>
    <col min="5634" max="5634" width="5.21875" customWidth="1"/>
    <col min="5635" max="5635" width="2.88671875" bestFit="1" customWidth="1"/>
    <col min="5636" max="5636" width="7.33203125" customWidth="1"/>
    <col min="5637" max="5637" width="5.6640625" customWidth="1"/>
    <col min="5638" max="5638" width="0" hidden="1" customWidth="1"/>
    <col min="5639" max="5639" width="5.109375" customWidth="1"/>
    <col min="5640" max="5640" width="1.109375" customWidth="1"/>
    <col min="5641" max="5641" width="3.44140625" customWidth="1"/>
    <col min="5642" max="5642" width="2.88671875" bestFit="1" customWidth="1"/>
    <col min="5643" max="5643" width="4" customWidth="1"/>
    <col min="5644" max="5644" width="4.77734375" customWidth="1"/>
    <col min="5645" max="5645" width="0.44140625" customWidth="1"/>
    <col min="5646" max="5646" width="7.88671875" customWidth="1"/>
    <col min="5647" max="5647" width="8.77734375" customWidth="1"/>
    <col min="5648" max="5648" width="9.109375" customWidth="1"/>
    <col min="5649" max="5655" width="0" hidden="1" customWidth="1"/>
    <col min="5656" max="5656" width="1" customWidth="1"/>
    <col min="5889" max="5889" width="13.88671875" customWidth="1"/>
    <col min="5890" max="5890" width="5.21875" customWidth="1"/>
    <col min="5891" max="5891" width="2.88671875" bestFit="1" customWidth="1"/>
    <col min="5892" max="5892" width="7.33203125" customWidth="1"/>
    <col min="5893" max="5893" width="5.6640625" customWidth="1"/>
    <col min="5894" max="5894" width="0" hidden="1" customWidth="1"/>
    <col min="5895" max="5895" width="5.109375" customWidth="1"/>
    <col min="5896" max="5896" width="1.109375" customWidth="1"/>
    <col min="5897" max="5897" width="3.44140625" customWidth="1"/>
    <col min="5898" max="5898" width="2.88671875" bestFit="1" customWidth="1"/>
    <col min="5899" max="5899" width="4" customWidth="1"/>
    <col min="5900" max="5900" width="4.77734375" customWidth="1"/>
    <col min="5901" max="5901" width="0.44140625" customWidth="1"/>
    <col min="5902" max="5902" width="7.88671875" customWidth="1"/>
    <col min="5903" max="5903" width="8.77734375" customWidth="1"/>
    <col min="5904" max="5904" width="9.109375" customWidth="1"/>
    <col min="5905" max="5911" width="0" hidden="1" customWidth="1"/>
    <col min="5912" max="5912" width="1" customWidth="1"/>
    <col min="6145" max="6145" width="13.88671875" customWidth="1"/>
    <col min="6146" max="6146" width="5.21875" customWidth="1"/>
    <col min="6147" max="6147" width="2.88671875" bestFit="1" customWidth="1"/>
    <col min="6148" max="6148" width="7.33203125" customWidth="1"/>
    <col min="6149" max="6149" width="5.6640625" customWidth="1"/>
    <col min="6150" max="6150" width="0" hidden="1" customWidth="1"/>
    <col min="6151" max="6151" width="5.109375" customWidth="1"/>
    <col min="6152" max="6152" width="1.109375" customWidth="1"/>
    <col min="6153" max="6153" width="3.44140625" customWidth="1"/>
    <col min="6154" max="6154" width="2.88671875" bestFit="1" customWidth="1"/>
    <col min="6155" max="6155" width="4" customWidth="1"/>
    <col min="6156" max="6156" width="4.77734375" customWidth="1"/>
    <col min="6157" max="6157" width="0.44140625" customWidth="1"/>
    <col min="6158" max="6158" width="7.88671875" customWidth="1"/>
    <col min="6159" max="6159" width="8.77734375" customWidth="1"/>
    <col min="6160" max="6160" width="9.109375" customWidth="1"/>
    <col min="6161" max="6167" width="0" hidden="1" customWidth="1"/>
    <col min="6168" max="6168" width="1" customWidth="1"/>
    <col min="6401" max="6401" width="13.88671875" customWidth="1"/>
    <col min="6402" max="6402" width="5.21875" customWidth="1"/>
    <col min="6403" max="6403" width="2.88671875" bestFit="1" customWidth="1"/>
    <col min="6404" max="6404" width="7.33203125" customWidth="1"/>
    <col min="6405" max="6405" width="5.6640625" customWidth="1"/>
    <col min="6406" max="6406" width="0" hidden="1" customWidth="1"/>
    <col min="6407" max="6407" width="5.109375" customWidth="1"/>
    <col min="6408" max="6408" width="1.109375" customWidth="1"/>
    <col min="6409" max="6409" width="3.44140625" customWidth="1"/>
    <col min="6410" max="6410" width="2.88671875" bestFit="1" customWidth="1"/>
    <col min="6411" max="6411" width="4" customWidth="1"/>
    <col min="6412" max="6412" width="4.77734375" customWidth="1"/>
    <col min="6413" max="6413" width="0.44140625" customWidth="1"/>
    <col min="6414" max="6414" width="7.88671875" customWidth="1"/>
    <col min="6415" max="6415" width="8.77734375" customWidth="1"/>
    <col min="6416" max="6416" width="9.109375" customWidth="1"/>
    <col min="6417" max="6423" width="0" hidden="1" customWidth="1"/>
    <col min="6424" max="6424" width="1" customWidth="1"/>
    <col min="6657" max="6657" width="13.88671875" customWidth="1"/>
    <col min="6658" max="6658" width="5.21875" customWidth="1"/>
    <col min="6659" max="6659" width="2.88671875" bestFit="1" customWidth="1"/>
    <col min="6660" max="6660" width="7.33203125" customWidth="1"/>
    <col min="6661" max="6661" width="5.6640625" customWidth="1"/>
    <col min="6662" max="6662" width="0" hidden="1" customWidth="1"/>
    <col min="6663" max="6663" width="5.109375" customWidth="1"/>
    <col min="6664" max="6664" width="1.109375" customWidth="1"/>
    <col min="6665" max="6665" width="3.44140625" customWidth="1"/>
    <col min="6666" max="6666" width="2.88671875" bestFit="1" customWidth="1"/>
    <col min="6667" max="6667" width="4" customWidth="1"/>
    <col min="6668" max="6668" width="4.77734375" customWidth="1"/>
    <col min="6669" max="6669" width="0.44140625" customWidth="1"/>
    <col min="6670" max="6670" width="7.88671875" customWidth="1"/>
    <col min="6671" max="6671" width="8.77734375" customWidth="1"/>
    <col min="6672" max="6672" width="9.109375" customWidth="1"/>
    <col min="6673" max="6679" width="0" hidden="1" customWidth="1"/>
    <col min="6680" max="6680" width="1" customWidth="1"/>
    <col min="6913" max="6913" width="13.88671875" customWidth="1"/>
    <col min="6914" max="6914" width="5.21875" customWidth="1"/>
    <col min="6915" max="6915" width="2.88671875" bestFit="1" customWidth="1"/>
    <col min="6916" max="6916" width="7.33203125" customWidth="1"/>
    <col min="6917" max="6917" width="5.6640625" customWidth="1"/>
    <col min="6918" max="6918" width="0" hidden="1" customWidth="1"/>
    <col min="6919" max="6919" width="5.109375" customWidth="1"/>
    <col min="6920" max="6920" width="1.109375" customWidth="1"/>
    <col min="6921" max="6921" width="3.44140625" customWidth="1"/>
    <col min="6922" max="6922" width="2.88671875" bestFit="1" customWidth="1"/>
    <col min="6923" max="6923" width="4" customWidth="1"/>
    <col min="6924" max="6924" width="4.77734375" customWidth="1"/>
    <col min="6925" max="6925" width="0.44140625" customWidth="1"/>
    <col min="6926" max="6926" width="7.88671875" customWidth="1"/>
    <col min="6927" max="6927" width="8.77734375" customWidth="1"/>
    <col min="6928" max="6928" width="9.109375" customWidth="1"/>
    <col min="6929" max="6935" width="0" hidden="1" customWidth="1"/>
    <col min="6936" max="6936" width="1" customWidth="1"/>
    <col min="7169" max="7169" width="13.88671875" customWidth="1"/>
    <col min="7170" max="7170" width="5.21875" customWidth="1"/>
    <col min="7171" max="7171" width="2.88671875" bestFit="1" customWidth="1"/>
    <col min="7172" max="7172" width="7.33203125" customWidth="1"/>
    <col min="7173" max="7173" width="5.6640625" customWidth="1"/>
    <col min="7174" max="7174" width="0" hidden="1" customWidth="1"/>
    <col min="7175" max="7175" width="5.109375" customWidth="1"/>
    <col min="7176" max="7176" width="1.109375" customWidth="1"/>
    <col min="7177" max="7177" width="3.44140625" customWidth="1"/>
    <col min="7178" max="7178" width="2.88671875" bestFit="1" customWidth="1"/>
    <col min="7179" max="7179" width="4" customWidth="1"/>
    <col min="7180" max="7180" width="4.77734375" customWidth="1"/>
    <col min="7181" max="7181" width="0.44140625" customWidth="1"/>
    <col min="7182" max="7182" width="7.88671875" customWidth="1"/>
    <col min="7183" max="7183" width="8.77734375" customWidth="1"/>
    <col min="7184" max="7184" width="9.109375" customWidth="1"/>
    <col min="7185" max="7191" width="0" hidden="1" customWidth="1"/>
    <col min="7192" max="7192" width="1" customWidth="1"/>
    <col min="7425" max="7425" width="13.88671875" customWidth="1"/>
    <col min="7426" max="7426" width="5.21875" customWidth="1"/>
    <col min="7427" max="7427" width="2.88671875" bestFit="1" customWidth="1"/>
    <col min="7428" max="7428" width="7.33203125" customWidth="1"/>
    <col min="7429" max="7429" width="5.6640625" customWidth="1"/>
    <col min="7430" max="7430" width="0" hidden="1" customWidth="1"/>
    <col min="7431" max="7431" width="5.109375" customWidth="1"/>
    <col min="7432" max="7432" width="1.109375" customWidth="1"/>
    <col min="7433" max="7433" width="3.44140625" customWidth="1"/>
    <col min="7434" max="7434" width="2.88671875" bestFit="1" customWidth="1"/>
    <col min="7435" max="7435" width="4" customWidth="1"/>
    <col min="7436" max="7436" width="4.77734375" customWidth="1"/>
    <col min="7437" max="7437" width="0.44140625" customWidth="1"/>
    <col min="7438" max="7438" width="7.88671875" customWidth="1"/>
    <col min="7439" max="7439" width="8.77734375" customWidth="1"/>
    <col min="7440" max="7440" width="9.109375" customWidth="1"/>
    <col min="7441" max="7447" width="0" hidden="1" customWidth="1"/>
    <col min="7448" max="7448" width="1" customWidth="1"/>
    <col min="7681" max="7681" width="13.88671875" customWidth="1"/>
    <col min="7682" max="7682" width="5.21875" customWidth="1"/>
    <col min="7683" max="7683" width="2.88671875" bestFit="1" customWidth="1"/>
    <col min="7684" max="7684" width="7.33203125" customWidth="1"/>
    <col min="7685" max="7685" width="5.6640625" customWidth="1"/>
    <col min="7686" max="7686" width="0" hidden="1" customWidth="1"/>
    <col min="7687" max="7687" width="5.109375" customWidth="1"/>
    <col min="7688" max="7688" width="1.109375" customWidth="1"/>
    <col min="7689" max="7689" width="3.44140625" customWidth="1"/>
    <col min="7690" max="7690" width="2.88671875" bestFit="1" customWidth="1"/>
    <col min="7691" max="7691" width="4" customWidth="1"/>
    <col min="7692" max="7692" width="4.77734375" customWidth="1"/>
    <col min="7693" max="7693" width="0.44140625" customWidth="1"/>
    <col min="7694" max="7694" width="7.88671875" customWidth="1"/>
    <col min="7695" max="7695" width="8.77734375" customWidth="1"/>
    <col min="7696" max="7696" width="9.109375" customWidth="1"/>
    <col min="7697" max="7703" width="0" hidden="1" customWidth="1"/>
    <col min="7704" max="7704" width="1" customWidth="1"/>
    <col min="7937" max="7937" width="13.88671875" customWidth="1"/>
    <col min="7938" max="7938" width="5.21875" customWidth="1"/>
    <col min="7939" max="7939" width="2.88671875" bestFit="1" customWidth="1"/>
    <col min="7940" max="7940" width="7.33203125" customWidth="1"/>
    <col min="7941" max="7941" width="5.6640625" customWidth="1"/>
    <col min="7942" max="7942" width="0" hidden="1" customWidth="1"/>
    <col min="7943" max="7943" width="5.109375" customWidth="1"/>
    <col min="7944" max="7944" width="1.109375" customWidth="1"/>
    <col min="7945" max="7945" width="3.44140625" customWidth="1"/>
    <col min="7946" max="7946" width="2.88671875" bestFit="1" customWidth="1"/>
    <col min="7947" max="7947" width="4" customWidth="1"/>
    <col min="7948" max="7948" width="4.77734375" customWidth="1"/>
    <col min="7949" max="7949" width="0.44140625" customWidth="1"/>
    <col min="7950" max="7950" width="7.88671875" customWidth="1"/>
    <col min="7951" max="7951" width="8.77734375" customWidth="1"/>
    <col min="7952" max="7952" width="9.109375" customWidth="1"/>
    <col min="7953" max="7959" width="0" hidden="1" customWidth="1"/>
    <col min="7960" max="7960" width="1" customWidth="1"/>
    <col min="8193" max="8193" width="13.88671875" customWidth="1"/>
    <col min="8194" max="8194" width="5.21875" customWidth="1"/>
    <col min="8195" max="8195" width="2.88671875" bestFit="1" customWidth="1"/>
    <col min="8196" max="8196" width="7.33203125" customWidth="1"/>
    <col min="8197" max="8197" width="5.6640625" customWidth="1"/>
    <col min="8198" max="8198" width="0" hidden="1" customWidth="1"/>
    <col min="8199" max="8199" width="5.109375" customWidth="1"/>
    <col min="8200" max="8200" width="1.109375" customWidth="1"/>
    <col min="8201" max="8201" width="3.44140625" customWidth="1"/>
    <col min="8202" max="8202" width="2.88671875" bestFit="1" customWidth="1"/>
    <col min="8203" max="8203" width="4" customWidth="1"/>
    <col min="8204" max="8204" width="4.77734375" customWidth="1"/>
    <col min="8205" max="8205" width="0.44140625" customWidth="1"/>
    <col min="8206" max="8206" width="7.88671875" customWidth="1"/>
    <col min="8207" max="8207" width="8.77734375" customWidth="1"/>
    <col min="8208" max="8208" width="9.109375" customWidth="1"/>
    <col min="8209" max="8215" width="0" hidden="1" customWidth="1"/>
    <col min="8216" max="8216" width="1" customWidth="1"/>
    <col min="8449" max="8449" width="13.88671875" customWidth="1"/>
    <col min="8450" max="8450" width="5.21875" customWidth="1"/>
    <col min="8451" max="8451" width="2.88671875" bestFit="1" customWidth="1"/>
    <col min="8452" max="8452" width="7.33203125" customWidth="1"/>
    <col min="8453" max="8453" width="5.6640625" customWidth="1"/>
    <col min="8454" max="8454" width="0" hidden="1" customWidth="1"/>
    <col min="8455" max="8455" width="5.109375" customWidth="1"/>
    <col min="8456" max="8456" width="1.109375" customWidth="1"/>
    <col min="8457" max="8457" width="3.44140625" customWidth="1"/>
    <col min="8458" max="8458" width="2.88671875" bestFit="1" customWidth="1"/>
    <col min="8459" max="8459" width="4" customWidth="1"/>
    <col min="8460" max="8460" width="4.77734375" customWidth="1"/>
    <col min="8461" max="8461" width="0.44140625" customWidth="1"/>
    <col min="8462" max="8462" width="7.88671875" customWidth="1"/>
    <col min="8463" max="8463" width="8.77734375" customWidth="1"/>
    <col min="8464" max="8464" width="9.109375" customWidth="1"/>
    <col min="8465" max="8471" width="0" hidden="1" customWidth="1"/>
    <col min="8472" max="8472" width="1" customWidth="1"/>
    <col min="8705" max="8705" width="13.88671875" customWidth="1"/>
    <col min="8706" max="8706" width="5.21875" customWidth="1"/>
    <col min="8707" max="8707" width="2.88671875" bestFit="1" customWidth="1"/>
    <col min="8708" max="8708" width="7.33203125" customWidth="1"/>
    <col min="8709" max="8709" width="5.6640625" customWidth="1"/>
    <col min="8710" max="8710" width="0" hidden="1" customWidth="1"/>
    <col min="8711" max="8711" width="5.109375" customWidth="1"/>
    <col min="8712" max="8712" width="1.109375" customWidth="1"/>
    <col min="8713" max="8713" width="3.44140625" customWidth="1"/>
    <col min="8714" max="8714" width="2.88671875" bestFit="1" customWidth="1"/>
    <col min="8715" max="8715" width="4" customWidth="1"/>
    <col min="8716" max="8716" width="4.77734375" customWidth="1"/>
    <col min="8717" max="8717" width="0.44140625" customWidth="1"/>
    <col min="8718" max="8718" width="7.88671875" customWidth="1"/>
    <col min="8719" max="8719" width="8.77734375" customWidth="1"/>
    <col min="8720" max="8720" width="9.109375" customWidth="1"/>
    <col min="8721" max="8727" width="0" hidden="1" customWidth="1"/>
    <col min="8728" max="8728" width="1" customWidth="1"/>
    <col min="8961" max="8961" width="13.88671875" customWidth="1"/>
    <col min="8962" max="8962" width="5.21875" customWidth="1"/>
    <col min="8963" max="8963" width="2.88671875" bestFit="1" customWidth="1"/>
    <col min="8964" max="8964" width="7.33203125" customWidth="1"/>
    <col min="8965" max="8965" width="5.6640625" customWidth="1"/>
    <col min="8966" max="8966" width="0" hidden="1" customWidth="1"/>
    <col min="8967" max="8967" width="5.109375" customWidth="1"/>
    <col min="8968" max="8968" width="1.109375" customWidth="1"/>
    <col min="8969" max="8969" width="3.44140625" customWidth="1"/>
    <col min="8970" max="8970" width="2.88671875" bestFit="1" customWidth="1"/>
    <col min="8971" max="8971" width="4" customWidth="1"/>
    <col min="8972" max="8972" width="4.77734375" customWidth="1"/>
    <col min="8973" max="8973" width="0.44140625" customWidth="1"/>
    <col min="8974" max="8974" width="7.88671875" customWidth="1"/>
    <col min="8975" max="8975" width="8.77734375" customWidth="1"/>
    <col min="8976" max="8976" width="9.109375" customWidth="1"/>
    <col min="8977" max="8983" width="0" hidden="1" customWidth="1"/>
    <col min="8984" max="8984" width="1" customWidth="1"/>
    <col min="9217" max="9217" width="13.88671875" customWidth="1"/>
    <col min="9218" max="9218" width="5.21875" customWidth="1"/>
    <col min="9219" max="9219" width="2.88671875" bestFit="1" customWidth="1"/>
    <col min="9220" max="9220" width="7.33203125" customWidth="1"/>
    <col min="9221" max="9221" width="5.6640625" customWidth="1"/>
    <col min="9222" max="9222" width="0" hidden="1" customWidth="1"/>
    <col min="9223" max="9223" width="5.109375" customWidth="1"/>
    <col min="9224" max="9224" width="1.109375" customWidth="1"/>
    <col min="9225" max="9225" width="3.44140625" customWidth="1"/>
    <col min="9226" max="9226" width="2.88671875" bestFit="1" customWidth="1"/>
    <col min="9227" max="9227" width="4" customWidth="1"/>
    <col min="9228" max="9228" width="4.77734375" customWidth="1"/>
    <col min="9229" max="9229" width="0.44140625" customWidth="1"/>
    <col min="9230" max="9230" width="7.88671875" customWidth="1"/>
    <col min="9231" max="9231" width="8.77734375" customWidth="1"/>
    <col min="9232" max="9232" width="9.109375" customWidth="1"/>
    <col min="9233" max="9239" width="0" hidden="1" customWidth="1"/>
    <col min="9240" max="9240" width="1" customWidth="1"/>
    <col min="9473" max="9473" width="13.88671875" customWidth="1"/>
    <col min="9474" max="9474" width="5.21875" customWidth="1"/>
    <col min="9475" max="9475" width="2.88671875" bestFit="1" customWidth="1"/>
    <col min="9476" max="9476" width="7.33203125" customWidth="1"/>
    <col min="9477" max="9477" width="5.6640625" customWidth="1"/>
    <col min="9478" max="9478" width="0" hidden="1" customWidth="1"/>
    <col min="9479" max="9479" width="5.109375" customWidth="1"/>
    <col min="9480" max="9480" width="1.109375" customWidth="1"/>
    <col min="9481" max="9481" width="3.44140625" customWidth="1"/>
    <col min="9482" max="9482" width="2.88671875" bestFit="1" customWidth="1"/>
    <col min="9483" max="9483" width="4" customWidth="1"/>
    <col min="9484" max="9484" width="4.77734375" customWidth="1"/>
    <col min="9485" max="9485" width="0.44140625" customWidth="1"/>
    <col min="9486" max="9486" width="7.88671875" customWidth="1"/>
    <col min="9487" max="9487" width="8.77734375" customWidth="1"/>
    <col min="9488" max="9488" width="9.109375" customWidth="1"/>
    <col min="9489" max="9495" width="0" hidden="1" customWidth="1"/>
    <col min="9496" max="9496" width="1" customWidth="1"/>
    <col min="9729" max="9729" width="13.88671875" customWidth="1"/>
    <col min="9730" max="9730" width="5.21875" customWidth="1"/>
    <col min="9731" max="9731" width="2.88671875" bestFit="1" customWidth="1"/>
    <col min="9732" max="9732" width="7.33203125" customWidth="1"/>
    <col min="9733" max="9733" width="5.6640625" customWidth="1"/>
    <col min="9734" max="9734" width="0" hidden="1" customWidth="1"/>
    <col min="9735" max="9735" width="5.109375" customWidth="1"/>
    <col min="9736" max="9736" width="1.109375" customWidth="1"/>
    <col min="9737" max="9737" width="3.44140625" customWidth="1"/>
    <col min="9738" max="9738" width="2.88671875" bestFit="1" customWidth="1"/>
    <col min="9739" max="9739" width="4" customWidth="1"/>
    <col min="9740" max="9740" width="4.77734375" customWidth="1"/>
    <col min="9741" max="9741" width="0.44140625" customWidth="1"/>
    <col min="9742" max="9742" width="7.88671875" customWidth="1"/>
    <col min="9743" max="9743" width="8.77734375" customWidth="1"/>
    <col min="9744" max="9744" width="9.109375" customWidth="1"/>
    <col min="9745" max="9751" width="0" hidden="1" customWidth="1"/>
    <col min="9752" max="9752" width="1" customWidth="1"/>
    <col min="9985" max="9985" width="13.88671875" customWidth="1"/>
    <col min="9986" max="9986" width="5.21875" customWidth="1"/>
    <col min="9987" max="9987" width="2.88671875" bestFit="1" customWidth="1"/>
    <col min="9988" max="9988" width="7.33203125" customWidth="1"/>
    <col min="9989" max="9989" width="5.6640625" customWidth="1"/>
    <col min="9990" max="9990" width="0" hidden="1" customWidth="1"/>
    <col min="9991" max="9991" width="5.109375" customWidth="1"/>
    <col min="9992" max="9992" width="1.109375" customWidth="1"/>
    <col min="9993" max="9993" width="3.44140625" customWidth="1"/>
    <col min="9994" max="9994" width="2.88671875" bestFit="1" customWidth="1"/>
    <col min="9995" max="9995" width="4" customWidth="1"/>
    <col min="9996" max="9996" width="4.77734375" customWidth="1"/>
    <col min="9997" max="9997" width="0.44140625" customWidth="1"/>
    <col min="9998" max="9998" width="7.88671875" customWidth="1"/>
    <col min="9999" max="9999" width="8.77734375" customWidth="1"/>
    <col min="10000" max="10000" width="9.109375" customWidth="1"/>
    <col min="10001" max="10007" width="0" hidden="1" customWidth="1"/>
    <col min="10008" max="10008" width="1" customWidth="1"/>
    <col min="10241" max="10241" width="13.88671875" customWidth="1"/>
    <col min="10242" max="10242" width="5.21875" customWidth="1"/>
    <col min="10243" max="10243" width="2.88671875" bestFit="1" customWidth="1"/>
    <col min="10244" max="10244" width="7.33203125" customWidth="1"/>
    <col min="10245" max="10245" width="5.6640625" customWidth="1"/>
    <col min="10246" max="10246" width="0" hidden="1" customWidth="1"/>
    <col min="10247" max="10247" width="5.109375" customWidth="1"/>
    <col min="10248" max="10248" width="1.109375" customWidth="1"/>
    <col min="10249" max="10249" width="3.44140625" customWidth="1"/>
    <col min="10250" max="10250" width="2.88671875" bestFit="1" customWidth="1"/>
    <col min="10251" max="10251" width="4" customWidth="1"/>
    <col min="10252" max="10252" width="4.77734375" customWidth="1"/>
    <col min="10253" max="10253" width="0.44140625" customWidth="1"/>
    <col min="10254" max="10254" width="7.88671875" customWidth="1"/>
    <col min="10255" max="10255" width="8.77734375" customWidth="1"/>
    <col min="10256" max="10256" width="9.109375" customWidth="1"/>
    <col min="10257" max="10263" width="0" hidden="1" customWidth="1"/>
    <col min="10264" max="10264" width="1" customWidth="1"/>
    <col min="10497" max="10497" width="13.88671875" customWidth="1"/>
    <col min="10498" max="10498" width="5.21875" customWidth="1"/>
    <col min="10499" max="10499" width="2.88671875" bestFit="1" customWidth="1"/>
    <col min="10500" max="10500" width="7.33203125" customWidth="1"/>
    <col min="10501" max="10501" width="5.6640625" customWidth="1"/>
    <col min="10502" max="10502" width="0" hidden="1" customWidth="1"/>
    <col min="10503" max="10503" width="5.109375" customWidth="1"/>
    <col min="10504" max="10504" width="1.109375" customWidth="1"/>
    <col min="10505" max="10505" width="3.44140625" customWidth="1"/>
    <col min="10506" max="10506" width="2.88671875" bestFit="1" customWidth="1"/>
    <col min="10507" max="10507" width="4" customWidth="1"/>
    <col min="10508" max="10508" width="4.77734375" customWidth="1"/>
    <col min="10509" max="10509" width="0.44140625" customWidth="1"/>
    <col min="10510" max="10510" width="7.88671875" customWidth="1"/>
    <col min="10511" max="10511" width="8.77734375" customWidth="1"/>
    <col min="10512" max="10512" width="9.109375" customWidth="1"/>
    <col min="10513" max="10519" width="0" hidden="1" customWidth="1"/>
    <col min="10520" max="10520" width="1" customWidth="1"/>
    <col min="10753" max="10753" width="13.88671875" customWidth="1"/>
    <col min="10754" max="10754" width="5.21875" customWidth="1"/>
    <col min="10755" max="10755" width="2.88671875" bestFit="1" customWidth="1"/>
    <col min="10756" max="10756" width="7.33203125" customWidth="1"/>
    <col min="10757" max="10757" width="5.6640625" customWidth="1"/>
    <col min="10758" max="10758" width="0" hidden="1" customWidth="1"/>
    <col min="10759" max="10759" width="5.109375" customWidth="1"/>
    <col min="10760" max="10760" width="1.109375" customWidth="1"/>
    <col min="10761" max="10761" width="3.44140625" customWidth="1"/>
    <col min="10762" max="10762" width="2.88671875" bestFit="1" customWidth="1"/>
    <col min="10763" max="10763" width="4" customWidth="1"/>
    <col min="10764" max="10764" width="4.77734375" customWidth="1"/>
    <col min="10765" max="10765" width="0.44140625" customWidth="1"/>
    <col min="10766" max="10766" width="7.88671875" customWidth="1"/>
    <col min="10767" max="10767" width="8.77734375" customWidth="1"/>
    <col min="10768" max="10768" width="9.109375" customWidth="1"/>
    <col min="10769" max="10775" width="0" hidden="1" customWidth="1"/>
    <col min="10776" max="10776" width="1" customWidth="1"/>
    <col min="11009" max="11009" width="13.88671875" customWidth="1"/>
    <col min="11010" max="11010" width="5.21875" customWidth="1"/>
    <col min="11011" max="11011" width="2.88671875" bestFit="1" customWidth="1"/>
    <col min="11012" max="11012" width="7.33203125" customWidth="1"/>
    <col min="11013" max="11013" width="5.6640625" customWidth="1"/>
    <col min="11014" max="11014" width="0" hidden="1" customWidth="1"/>
    <col min="11015" max="11015" width="5.109375" customWidth="1"/>
    <col min="11016" max="11016" width="1.109375" customWidth="1"/>
    <col min="11017" max="11017" width="3.44140625" customWidth="1"/>
    <col min="11018" max="11018" width="2.88671875" bestFit="1" customWidth="1"/>
    <col min="11019" max="11019" width="4" customWidth="1"/>
    <col min="11020" max="11020" width="4.77734375" customWidth="1"/>
    <col min="11021" max="11021" width="0.44140625" customWidth="1"/>
    <col min="11022" max="11022" width="7.88671875" customWidth="1"/>
    <col min="11023" max="11023" width="8.77734375" customWidth="1"/>
    <col min="11024" max="11024" width="9.109375" customWidth="1"/>
    <col min="11025" max="11031" width="0" hidden="1" customWidth="1"/>
    <col min="11032" max="11032" width="1" customWidth="1"/>
    <col min="11265" max="11265" width="13.88671875" customWidth="1"/>
    <col min="11266" max="11266" width="5.21875" customWidth="1"/>
    <col min="11267" max="11267" width="2.88671875" bestFit="1" customWidth="1"/>
    <col min="11268" max="11268" width="7.33203125" customWidth="1"/>
    <col min="11269" max="11269" width="5.6640625" customWidth="1"/>
    <col min="11270" max="11270" width="0" hidden="1" customWidth="1"/>
    <col min="11271" max="11271" width="5.109375" customWidth="1"/>
    <col min="11272" max="11272" width="1.109375" customWidth="1"/>
    <col min="11273" max="11273" width="3.44140625" customWidth="1"/>
    <col min="11274" max="11274" width="2.88671875" bestFit="1" customWidth="1"/>
    <col min="11275" max="11275" width="4" customWidth="1"/>
    <col min="11276" max="11276" width="4.77734375" customWidth="1"/>
    <col min="11277" max="11277" width="0.44140625" customWidth="1"/>
    <col min="11278" max="11278" width="7.88671875" customWidth="1"/>
    <col min="11279" max="11279" width="8.77734375" customWidth="1"/>
    <col min="11280" max="11280" width="9.109375" customWidth="1"/>
    <col min="11281" max="11287" width="0" hidden="1" customWidth="1"/>
    <col min="11288" max="11288" width="1" customWidth="1"/>
    <col min="11521" max="11521" width="13.88671875" customWidth="1"/>
    <col min="11522" max="11522" width="5.21875" customWidth="1"/>
    <col min="11523" max="11523" width="2.88671875" bestFit="1" customWidth="1"/>
    <col min="11524" max="11524" width="7.33203125" customWidth="1"/>
    <col min="11525" max="11525" width="5.6640625" customWidth="1"/>
    <col min="11526" max="11526" width="0" hidden="1" customWidth="1"/>
    <col min="11527" max="11527" width="5.109375" customWidth="1"/>
    <col min="11528" max="11528" width="1.109375" customWidth="1"/>
    <col min="11529" max="11529" width="3.44140625" customWidth="1"/>
    <col min="11530" max="11530" width="2.88671875" bestFit="1" customWidth="1"/>
    <col min="11531" max="11531" width="4" customWidth="1"/>
    <col min="11532" max="11532" width="4.77734375" customWidth="1"/>
    <col min="11533" max="11533" width="0.44140625" customWidth="1"/>
    <col min="11534" max="11534" width="7.88671875" customWidth="1"/>
    <col min="11535" max="11535" width="8.77734375" customWidth="1"/>
    <col min="11536" max="11536" width="9.109375" customWidth="1"/>
    <col min="11537" max="11543" width="0" hidden="1" customWidth="1"/>
    <col min="11544" max="11544" width="1" customWidth="1"/>
    <col min="11777" max="11777" width="13.88671875" customWidth="1"/>
    <col min="11778" max="11778" width="5.21875" customWidth="1"/>
    <col min="11779" max="11779" width="2.88671875" bestFit="1" customWidth="1"/>
    <col min="11780" max="11780" width="7.33203125" customWidth="1"/>
    <col min="11781" max="11781" width="5.6640625" customWidth="1"/>
    <col min="11782" max="11782" width="0" hidden="1" customWidth="1"/>
    <col min="11783" max="11783" width="5.109375" customWidth="1"/>
    <col min="11784" max="11784" width="1.109375" customWidth="1"/>
    <col min="11785" max="11785" width="3.44140625" customWidth="1"/>
    <col min="11786" max="11786" width="2.88671875" bestFit="1" customWidth="1"/>
    <col min="11787" max="11787" width="4" customWidth="1"/>
    <col min="11788" max="11788" width="4.77734375" customWidth="1"/>
    <col min="11789" max="11789" width="0.44140625" customWidth="1"/>
    <col min="11790" max="11790" width="7.88671875" customWidth="1"/>
    <col min="11791" max="11791" width="8.77734375" customWidth="1"/>
    <col min="11792" max="11792" width="9.109375" customWidth="1"/>
    <col min="11793" max="11799" width="0" hidden="1" customWidth="1"/>
    <col min="11800" max="11800" width="1" customWidth="1"/>
    <col min="12033" max="12033" width="13.88671875" customWidth="1"/>
    <col min="12034" max="12034" width="5.21875" customWidth="1"/>
    <col min="12035" max="12035" width="2.88671875" bestFit="1" customWidth="1"/>
    <col min="12036" max="12036" width="7.33203125" customWidth="1"/>
    <col min="12037" max="12037" width="5.6640625" customWidth="1"/>
    <col min="12038" max="12038" width="0" hidden="1" customWidth="1"/>
    <col min="12039" max="12039" width="5.109375" customWidth="1"/>
    <col min="12040" max="12040" width="1.109375" customWidth="1"/>
    <col min="12041" max="12041" width="3.44140625" customWidth="1"/>
    <col min="12042" max="12042" width="2.88671875" bestFit="1" customWidth="1"/>
    <col min="12043" max="12043" width="4" customWidth="1"/>
    <col min="12044" max="12044" width="4.77734375" customWidth="1"/>
    <col min="12045" max="12045" width="0.44140625" customWidth="1"/>
    <col min="12046" max="12046" width="7.88671875" customWidth="1"/>
    <col min="12047" max="12047" width="8.77734375" customWidth="1"/>
    <col min="12048" max="12048" width="9.109375" customWidth="1"/>
    <col min="12049" max="12055" width="0" hidden="1" customWidth="1"/>
    <col min="12056" max="12056" width="1" customWidth="1"/>
    <col min="12289" max="12289" width="13.88671875" customWidth="1"/>
    <col min="12290" max="12290" width="5.21875" customWidth="1"/>
    <col min="12291" max="12291" width="2.88671875" bestFit="1" customWidth="1"/>
    <col min="12292" max="12292" width="7.33203125" customWidth="1"/>
    <col min="12293" max="12293" width="5.6640625" customWidth="1"/>
    <col min="12294" max="12294" width="0" hidden="1" customWidth="1"/>
    <col min="12295" max="12295" width="5.109375" customWidth="1"/>
    <col min="12296" max="12296" width="1.109375" customWidth="1"/>
    <col min="12297" max="12297" width="3.44140625" customWidth="1"/>
    <col min="12298" max="12298" width="2.88671875" bestFit="1" customWidth="1"/>
    <col min="12299" max="12299" width="4" customWidth="1"/>
    <col min="12300" max="12300" width="4.77734375" customWidth="1"/>
    <col min="12301" max="12301" width="0.44140625" customWidth="1"/>
    <col min="12302" max="12302" width="7.88671875" customWidth="1"/>
    <col min="12303" max="12303" width="8.77734375" customWidth="1"/>
    <col min="12304" max="12304" width="9.109375" customWidth="1"/>
    <col min="12305" max="12311" width="0" hidden="1" customWidth="1"/>
    <col min="12312" max="12312" width="1" customWidth="1"/>
    <col min="12545" max="12545" width="13.88671875" customWidth="1"/>
    <col min="12546" max="12546" width="5.21875" customWidth="1"/>
    <col min="12547" max="12547" width="2.88671875" bestFit="1" customWidth="1"/>
    <col min="12548" max="12548" width="7.33203125" customWidth="1"/>
    <col min="12549" max="12549" width="5.6640625" customWidth="1"/>
    <col min="12550" max="12550" width="0" hidden="1" customWidth="1"/>
    <col min="12551" max="12551" width="5.109375" customWidth="1"/>
    <col min="12552" max="12552" width="1.109375" customWidth="1"/>
    <col min="12553" max="12553" width="3.44140625" customWidth="1"/>
    <col min="12554" max="12554" width="2.88671875" bestFit="1" customWidth="1"/>
    <col min="12555" max="12555" width="4" customWidth="1"/>
    <col min="12556" max="12556" width="4.77734375" customWidth="1"/>
    <col min="12557" max="12557" width="0.44140625" customWidth="1"/>
    <col min="12558" max="12558" width="7.88671875" customWidth="1"/>
    <col min="12559" max="12559" width="8.77734375" customWidth="1"/>
    <col min="12560" max="12560" width="9.109375" customWidth="1"/>
    <col min="12561" max="12567" width="0" hidden="1" customWidth="1"/>
    <col min="12568" max="12568" width="1" customWidth="1"/>
    <col min="12801" max="12801" width="13.88671875" customWidth="1"/>
    <col min="12802" max="12802" width="5.21875" customWidth="1"/>
    <col min="12803" max="12803" width="2.88671875" bestFit="1" customWidth="1"/>
    <col min="12804" max="12804" width="7.33203125" customWidth="1"/>
    <col min="12805" max="12805" width="5.6640625" customWidth="1"/>
    <col min="12806" max="12806" width="0" hidden="1" customWidth="1"/>
    <col min="12807" max="12807" width="5.109375" customWidth="1"/>
    <col min="12808" max="12808" width="1.109375" customWidth="1"/>
    <col min="12809" max="12809" width="3.44140625" customWidth="1"/>
    <col min="12810" max="12810" width="2.88671875" bestFit="1" customWidth="1"/>
    <col min="12811" max="12811" width="4" customWidth="1"/>
    <col min="12812" max="12812" width="4.77734375" customWidth="1"/>
    <col min="12813" max="12813" width="0.44140625" customWidth="1"/>
    <col min="12814" max="12814" width="7.88671875" customWidth="1"/>
    <col min="12815" max="12815" width="8.77734375" customWidth="1"/>
    <col min="12816" max="12816" width="9.109375" customWidth="1"/>
    <col min="12817" max="12823" width="0" hidden="1" customWidth="1"/>
    <col min="12824" max="12824" width="1" customWidth="1"/>
    <col min="13057" max="13057" width="13.88671875" customWidth="1"/>
    <col min="13058" max="13058" width="5.21875" customWidth="1"/>
    <col min="13059" max="13059" width="2.88671875" bestFit="1" customWidth="1"/>
    <col min="13060" max="13060" width="7.33203125" customWidth="1"/>
    <col min="13061" max="13061" width="5.6640625" customWidth="1"/>
    <col min="13062" max="13062" width="0" hidden="1" customWidth="1"/>
    <col min="13063" max="13063" width="5.109375" customWidth="1"/>
    <col min="13064" max="13064" width="1.109375" customWidth="1"/>
    <col min="13065" max="13065" width="3.44140625" customWidth="1"/>
    <col min="13066" max="13066" width="2.88671875" bestFit="1" customWidth="1"/>
    <col min="13067" max="13067" width="4" customWidth="1"/>
    <col min="13068" max="13068" width="4.77734375" customWidth="1"/>
    <col min="13069" max="13069" width="0.44140625" customWidth="1"/>
    <col min="13070" max="13070" width="7.88671875" customWidth="1"/>
    <col min="13071" max="13071" width="8.77734375" customWidth="1"/>
    <col min="13072" max="13072" width="9.109375" customWidth="1"/>
    <col min="13073" max="13079" width="0" hidden="1" customWidth="1"/>
    <col min="13080" max="13080" width="1" customWidth="1"/>
    <col min="13313" max="13313" width="13.88671875" customWidth="1"/>
    <col min="13314" max="13314" width="5.21875" customWidth="1"/>
    <col min="13315" max="13315" width="2.88671875" bestFit="1" customWidth="1"/>
    <col min="13316" max="13316" width="7.33203125" customWidth="1"/>
    <col min="13317" max="13317" width="5.6640625" customWidth="1"/>
    <col min="13318" max="13318" width="0" hidden="1" customWidth="1"/>
    <col min="13319" max="13319" width="5.109375" customWidth="1"/>
    <col min="13320" max="13320" width="1.109375" customWidth="1"/>
    <col min="13321" max="13321" width="3.44140625" customWidth="1"/>
    <col min="13322" max="13322" width="2.88671875" bestFit="1" customWidth="1"/>
    <col min="13323" max="13323" width="4" customWidth="1"/>
    <col min="13324" max="13324" width="4.77734375" customWidth="1"/>
    <col min="13325" max="13325" width="0.44140625" customWidth="1"/>
    <col min="13326" max="13326" width="7.88671875" customWidth="1"/>
    <col min="13327" max="13327" width="8.77734375" customWidth="1"/>
    <col min="13328" max="13328" width="9.109375" customWidth="1"/>
    <col min="13329" max="13335" width="0" hidden="1" customWidth="1"/>
    <col min="13336" max="13336" width="1" customWidth="1"/>
    <col min="13569" max="13569" width="13.88671875" customWidth="1"/>
    <col min="13570" max="13570" width="5.21875" customWidth="1"/>
    <col min="13571" max="13571" width="2.88671875" bestFit="1" customWidth="1"/>
    <col min="13572" max="13572" width="7.33203125" customWidth="1"/>
    <col min="13573" max="13573" width="5.6640625" customWidth="1"/>
    <col min="13574" max="13574" width="0" hidden="1" customWidth="1"/>
    <col min="13575" max="13575" width="5.109375" customWidth="1"/>
    <col min="13576" max="13576" width="1.109375" customWidth="1"/>
    <col min="13577" max="13577" width="3.44140625" customWidth="1"/>
    <col min="13578" max="13578" width="2.88671875" bestFit="1" customWidth="1"/>
    <col min="13579" max="13579" width="4" customWidth="1"/>
    <col min="13580" max="13580" width="4.77734375" customWidth="1"/>
    <col min="13581" max="13581" width="0.44140625" customWidth="1"/>
    <col min="13582" max="13582" width="7.88671875" customWidth="1"/>
    <col min="13583" max="13583" width="8.77734375" customWidth="1"/>
    <col min="13584" max="13584" width="9.109375" customWidth="1"/>
    <col min="13585" max="13591" width="0" hidden="1" customWidth="1"/>
    <col min="13592" max="13592" width="1" customWidth="1"/>
    <col min="13825" max="13825" width="13.88671875" customWidth="1"/>
    <col min="13826" max="13826" width="5.21875" customWidth="1"/>
    <col min="13827" max="13827" width="2.88671875" bestFit="1" customWidth="1"/>
    <col min="13828" max="13828" width="7.33203125" customWidth="1"/>
    <col min="13829" max="13829" width="5.6640625" customWidth="1"/>
    <col min="13830" max="13830" width="0" hidden="1" customWidth="1"/>
    <col min="13831" max="13831" width="5.109375" customWidth="1"/>
    <col min="13832" max="13832" width="1.109375" customWidth="1"/>
    <col min="13833" max="13833" width="3.44140625" customWidth="1"/>
    <col min="13834" max="13834" width="2.88671875" bestFit="1" customWidth="1"/>
    <col min="13835" max="13835" width="4" customWidth="1"/>
    <col min="13836" max="13836" width="4.77734375" customWidth="1"/>
    <col min="13837" max="13837" width="0.44140625" customWidth="1"/>
    <col min="13838" max="13838" width="7.88671875" customWidth="1"/>
    <col min="13839" max="13839" width="8.77734375" customWidth="1"/>
    <col min="13840" max="13840" width="9.109375" customWidth="1"/>
    <col min="13841" max="13847" width="0" hidden="1" customWidth="1"/>
    <col min="13848" max="13848" width="1" customWidth="1"/>
    <col min="14081" max="14081" width="13.88671875" customWidth="1"/>
    <col min="14082" max="14082" width="5.21875" customWidth="1"/>
    <col min="14083" max="14083" width="2.88671875" bestFit="1" customWidth="1"/>
    <col min="14084" max="14084" width="7.33203125" customWidth="1"/>
    <col min="14085" max="14085" width="5.6640625" customWidth="1"/>
    <col min="14086" max="14086" width="0" hidden="1" customWidth="1"/>
    <col min="14087" max="14087" width="5.109375" customWidth="1"/>
    <col min="14088" max="14088" width="1.109375" customWidth="1"/>
    <col min="14089" max="14089" width="3.44140625" customWidth="1"/>
    <col min="14090" max="14090" width="2.88671875" bestFit="1" customWidth="1"/>
    <col min="14091" max="14091" width="4" customWidth="1"/>
    <col min="14092" max="14092" width="4.77734375" customWidth="1"/>
    <col min="14093" max="14093" width="0.44140625" customWidth="1"/>
    <col min="14094" max="14094" width="7.88671875" customWidth="1"/>
    <col min="14095" max="14095" width="8.77734375" customWidth="1"/>
    <col min="14096" max="14096" width="9.109375" customWidth="1"/>
    <col min="14097" max="14103" width="0" hidden="1" customWidth="1"/>
    <col min="14104" max="14104" width="1" customWidth="1"/>
    <col min="14337" max="14337" width="13.88671875" customWidth="1"/>
    <col min="14338" max="14338" width="5.21875" customWidth="1"/>
    <col min="14339" max="14339" width="2.88671875" bestFit="1" customWidth="1"/>
    <col min="14340" max="14340" width="7.33203125" customWidth="1"/>
    <col min="14341" max="14341" width="5.6640625" customWidth="1"/>
    <col min="14342" max="14342" width="0" hidden="1" customWidth="1"/>
    <col min="14343" max="14343" width="5.109375" customWidth="1"/>
    <col min="14344" max="14344" width="1.109375" customWidth="1"/>
    <col min="14345" max="14345" width="3.44140625" customWidth="1"/>
    <col min="14346" max="14346" width="2.88671875" bestFit="1" customWidth="1"/>
    <col min="14347" max="14347" width="4" customWidth="1"/>
    <col min="14348" max="14348" width="4.77734375" customWidth="1"/>
    <col min="14349" max="14349" width="0.44140625" customWidth="1"/>
    <col min="14350" max="14350" width="7.88671875" customWidth="1"/>
    <col min="14351" max="14351" width="8.77734375" customWidth="1"/>
    <col min="14352" max="14352" width="9.109375" customWidth="1"/>
    <col min="14353" max="14359" width="0" hidden="1" customWidth="1"/>
    <col min="14360" max="14360" width="1" customWidth="1"/>
    <col min="14593" max="14593" width="13.88671875" customWidth="1"/>
    <col min="14594" max="14594" width="5.21875" customWidth="1"/>
    <col min="14595" max="14595" width="2.88671875" bestFit="1" customWidth="1"/>
    <col min="14596" max="14596" width="7.33203125" customWidth="1"/>
    <col min="14597" max="14597" width="5.6640625" customWidth="1"/>
    <col min="14598" max="14598" width="0" hidden="1" customWidth="1"/>
    <col min="14599" max="14599" width="5.109375" customWidth="1"/>
    <col min="14600" max="14600" width="1.109375" customWidth="1"/>
    <col min="14601" max="14601" width="3.44140625" customWidth="1"/>
    <col min="14602" max="14602" width="2.88671875" bestFit="1" customWidth="1"/>
    <col min="14603" max="14603" width="4" customWidth="1"/>
    <col min="14604" max="14604" width="4.77734375" customWidth="1"/>
    <col min="14605" max="14605" width="0.44140625" customWidth="1"/>
    <col min="14606" max="14606" width="7.88671875" customWidth="1"/>
    <col min="14607" max="14607" width="8.77734375" customWidth="1"/>
    <col min="14608" max="14608" width="9.109375" customWidth="1"/>
    <col min="14609" max="14615" width="0" hidden="1" customWidth="1"/>
    <col min="14616" max="14616" width="1" customWidth="1"/>
    <col min="14849" max="14849" width="13.88671875" customWidth="1"/>
    <col min="14850" max="14850" width="5.21875" customWidth="1"/>
    <col min="14851" max="14851" width="2.88671875" bestFit="1" customWidth="1"/>
    <col min="14852" max="14852" width="7.33203125" customWidth="1"/>
    <col min="14853" max="14853" width="5.6640625" customWidth="1"/>
    <col min="14854" max="14854" width="0" hidden="1" customWidth="1"/>
    <col min="14855" max="14855" width="5.109375" customWidth="1"/>
    <col min="14856" max="14856" width="1.109375" customWidth="1"/>
    <col min="14857" max="14857" width="3.44140625" customWidth="1"/>
    <col min="14858" max="14858" width="2.88671875" bestFit="1" customWidth="1"/>
    <col min="14859" max="14859" width="4" customWidth="1"/>
    <col min="14860" max="14860" width="4.77734375" customWidth="1"/>
    <col min="14861" max="14861" width="0.44140625" customWidth="1"/>
    <col min="14862" max="14862" width="7.88671875" customWidth="1"/>
    <col min="14863" max="14863" width="8.77734375" customWidth="1"/>
    <col min="14864" max="14864" width="9.109375" customWidth="1"/>
    <col min="14865" max="14871" width="0" hidden="1" customWidth="1"/>
    <col min="14872" max="14872" width="1" customWidth="1"/>
    <col min="15105" max="15105" width="13.88671875" customWidth="1"/>
    <col min="15106" max="15106" width="5.21875" customWidth="1"/>
    <col min="15107" max="15107" width="2.88671875" bestFit="1" customWidth="1"/>
    <col min="15108" max="15108" width="7.33203125" customWidth="1"/>
    <col min="15109" max="15109" width="5.6640625" customWidth="1"/>
    <col min="15110" max="15110" width="0" hidden="1" customWidth="1"/>
    <col min="15111" max="15111" width="5.109375" customWidth="1"/>
    <col min="15112" max="15112" width="1.109375" customWidth="1"/>
    <col min="15113" max="15113" width="3.44140625" customWidth="1"/>
    <col min="15114" max="15114" width="2.88671875" bestFit="1" customWidth="1"/>
    <col min="15115" max="15115" width="4" customWidth="1"/>
    <col min="15116" max="15116" width="4.77734375" customWidth="1"/>
    <col min="15117" max="15117" width="0.44140625" customWidth="1"/>
    <col min="15118" max="15118" width="7.88671875" customWidth="1"/>
    <col min="15119" max="15119" width="8.77734375" customWidth="1"/>
    <col min="15120" max="15120" width="9.109375" customWidth="1"/>
    <col min="15121" max="15127" width="0" hidden="1" customWidth="1"/>
    <col min="15128" max="15128" width="1" customWidth="1"/>
    <col min="15361" max="15361" width="13.88671875" customWidth="1"/>
    <col min="15362" max="15362" width="5.21875" customWidth="1"/>
    <col min="15363" max="15363" width="2.88671875" bestFit="1" customWidth="1"/>
    <col min="15364" max="15364" width="7.33203125" customWidth="1"/>
    <col min="15365" max="15365" width="5.6640625" customWidth="1"/>
    <col min="15366" max="15366" width="0" hidden="1" customWidth="1"/>
    <col min="15367" max="15367" width="5.109375" customWidth="1"/>
    <col min="15368" max="15368" width="1.109375" customWidth="1"/>
    <col min="15369" max="15369" width="3.44140625" customWidth="1"/>
    <col min="15370" max="15370" width="2.88671875" bestFit="1" customWidth="1"/>
    <col min="15371" max="15371" width="4" customWidth="1"/>
    <col min="15372" max="15372" width="4.77734375" customWidth="1"/>
    <col min="15373" max="15373" width="0.44140625" customWidth="1"/>
    <col min="15374" max="15374" width="7.88671875" customWidth="1"/>
    <col min="15375" max="15375" width="8.77734375" customWidth="1"/>
    <col min="15376" max="15376" width="9.109375" customWidth="1"/>
    <col min="15377" max="15383" width="0" hidden="1" customWidth="1"/>
    <col min="15384" max="15384" width="1" customWidth="1"/>
    <col min="15617" max="15617" width="13.88671875" customWidth="1"/>
    <col min="15618" max="15618" width="5.21875" customWidth="1"/>
    <col min="15619" max="15619" width="2.88671875" bestFit="1" customWidth="1"/>
    <col min="15620" max="15620" width="7.33203125" customWidth="1"/>
    <col min="15621" max="15621" width="5.6640625" customWidth="1"/>
    <col min="15622" max="15622" width="0" hidden="1" customWidth="1"/>
    <col min="15623" max="15623" width="5.109375" customWidth="1"/>
    <col min="15624" max="15624" width="1.109375" customWidth="1"/>
    <col min="15625" max="15625" width="3.44140625" customWidth="1"/>
    <col min="15626" max="15626" width="2.88671875" bestFit="1" customWidth="1"/>
    <col min="15627" max="15627" width="4" customWidth="1"/>
    <col min="15628" max="15628" width="4.77734375" customWidth="1"/>
    <col min="15629" max="15629" width="0.44140625" customWidth="1"/>
    <col min="15630" max="15630" width="7.88671875" customWidth="1"/>
    <col min="15631" max="15631" width="8.77734375" customWidth="1"/>
    <col min="15632" max="15632" width="9.109375" customWidth="1"/>
    <col min="15633" max="15639" width="0" hidden="1" customWidth="1"/>
    <col min="15640" max="15640" width="1" customWidth="1"/>
    <col min="15873" max="15873" width="13.88671875" customWidth="1"/>
    <col min="15874" max="15874" width="5.21875" customWidth="1"/>
    <col min="15875" max="15875" width="2.88671875" bestFit="1" customWidth="1"/>
    <col min="15876" max="15876" width="7.33203125" customWidth="1"/>
    <col min="15877" max="15877" width="5.6640625" customWidth="1"/>
    <col min="15878" max="15878" width="0" hidden="1" customWidth="1"/>
    <col min="15879" max="15879" width="5.109375" customWidth="1"/>
    <col min="15880" max="15880" width="1.109375" customWidth="1"/>
    <col min="15881" max="15881" width="3.44140625" customWidth="1"/>
    <col min="15882" max="15882" width="2.88671875" bestFit="1" customWidth="1"/>
    <col min="15883" max="15883" width="4" customWidth="1"/>
    <col min="15884" max="15884" width="4.77734375" customWidth="1"/>
    <col min="15885" max="15885" width="0.44140625" customWidth="1"/>
    <col min="15886" max="15886" width="7.88671875" customWidth="1"/>
    <col min="15887" max="15887" width="8.77734375" customWidth="1"/>
    <col min="15888" max="15888" width="9.109375" customWidth="1"/>
    <col min="15889" max="15895" width="0" hidden="1" customWidth="1"/>
    <col min="15896" max="15896" width="1" customWidth="1"/>
    <col min="16129" max="16129" width="13.88671875" customWidth="1"/>
    <col min="16130" max="16130" width="5.21875" customWidth="1"/>
    <col min="16131" max="16131" width="2.88671875" bestFit="1" customWidth="1"/>
    <col min="16132" max="16132" width="7.33203125" customWidth="1"/>
    <col min="16133" max="16133" width="5.6640625" customWidth="1"/>
    <col min="16134" max="16134" width="0" hidden="1" customWidth="1"/>
    <col min="16135" max="16135" width="5.109375" customWidth="1"/>
    <col min="16136" max="16136" width="1.109375" customWidth="1"/>
    <col min="16137" max="16137" width="3.44140625" customWidth="1"/>
    <col min="16138" max="16138" width="2.88671875" bestFit="1" customWidth="1"/>
    <col min="16139" max="16139" width="4" customWidth="1"/>
    <col min="16140" max="16140" width="4.77734375" customWidth="1"/>
    <col min="16141" max="16141" width="0.44140625" customWidth="1"/>
    <col min="16142" max="16142" width="7.88671875" customWidth="1"/>
    <col min="16143" max="16143" width="8.77734375" customWidth="1"/>
    <col min="16144" max="16144" width="9.109375" customWidth="1"/>
    <col min="16145" max="16151" width="0" hidden="1" customWidth="1"/>
    <col min="16152" max="16152" width="1" customWidth="1"/>
  </cols>
  <sheetData>
    <row r="1" spans="1:62" ht="16.5">
      <c r="A1" s="17"/>
      <c r="B1" s="17"/>
      <c r="C1" s="17"/>
      <c r="D1" s="17"/>
      <c r="E1" s="17"/>
      <c r="F1" s="17"/>
      <c r="G1" s="17"/>
      <c r="H1" s="17"/>
      <c r="I1" s="17"/>
      <c r="J1" s="17"/>
      <c r="K1" s="17"/>
      <c r="L1" s="17"/>
      <c r="M1" s="17"/>
      <c r="N1" s="17"/>
      <c r="O1" s="17"/>
      <c r="P1" s="17"/>
    </row>
    <row r="2" spans="1:62" s="52" customFormat="1" ht="63.75" customHeight="1">
      <c r="A2" s="143" t="s">
        <v>74</v>
      </c>
      <c r="B2" s="144"/>
      <c r="C2" s="144"/>
      <c r="D2" s="144"/>
      <c r="E2" s="144"/>
      <c r="F2" s="144"/>
      <c r="G2" s="144"/>
      <c r="H2" s="144"/>
      <c r="I2" s="144"/>
      <c r="J2" s="144"/>
      <c r="K2" s="144"/>
      <c r="L2" s="144"/>
      <c r="M2" s="144"/>
      <c r="N2" s="144"/>
      <c r="O2" s="144"/>
      <c r="P2" s="145"/>
    </row>
    <row r="3" spans="1:62" s="19" customFormat="1" ht="29.25" customHeight="1">
      <c r="A3" s="93" t="s">
        <v>75</v>
      </c>
      <c r="B3" s="146" t="str">
        <f>★자료입력!J2</f>
        <v>수소에너지소재연구단(0184호) 청정수소 분리판 기술 개발실 구축(설비)</v>
      </c>
      <c r="C3" s="147"/>
      <c r="D3" s="147"/>
      <c r="E3" s="147"/>
      <c r="F3" s="147"/>
      <c r="G3" s="147"/>
      <c r="H3" s="147"/>
      <c r="I3" s="147"/>
      <c r="J3" s="147"/>
      <c r="K3" s="147"/>
      <c r="L3" s="147"/>
      <c r="M3" s="147"/>
      <c r="N3" s="147"/>
      <c r="O3" s="94" t="s">
        <v>76</v>
      </c>
      <c r="P3" s="95">
        <f>★자료입력!G2</f>
        <v>0</v>
      </c>
      <c r="Q3" s="96"/>
      <c r="R3" s="96"/>
      <c r="S3" s="96"/>
      <c r="T3" s="96"/>
      <c r="U3" s="96"/>
      <c r="V3" s="96"/>
      <c r="W3" s="96"/>
      <c r="X3" s="96"/>
      <c r="Y3" s="96"/>
      <c r="AA3" s="97" t="s">
        <v>77</v>
      </c>
      <c r="AB3" s="98"/>
      <c r="AC3" s="98"/>
    </row>
    <row r="4" spans="1:62" s="19" customFormat="1" ht="29.25" customHeight="1">
      <c r="A4" s="93" t="s">
        <v>78</v>
      </c>
      <c r="B4" s="148" t="str">
        <f>LEFT(★자료입력!I2,4)&amp;"년"&amp;MID(★자료입력!I2,6,2)&amp;"월"&amp;MID(★자료입력!I2,9,2)&amp;"일"</f>
        <v>2025년09월26일</v>
      </c>
      <c r="C4" s="149"/>
      <c r="D4" s="149"/>
      <c r="E4" s="149"/>
      <c r="F4" s="149"/>
      <c r="G4" s="58" t="s">
        <v>79</v>
      </c>
      <c r="H4" s="58"/>
      <c r="I4" s="150" t="str">
        <f>MID(★자료입력!I2,12,4)&amp;"년"&amp;MID(★자료입력!I2,17,2)&amp;"월"&amp;RIGHT(★자료입력!I2,2)&amp;"일"</f>
        <v>2025년10월17일</v>
      </c>
      <c r="J4" s="150"/>
      <c r="K4" s="150"/>
      <c r="L4" s="150"/>
      <c r="M4" s="150"/>
      <c r="N4" s="99" t="s">
        <v>80</v>
      </c>
      <c r="O4" s="59"/>
      <c r="P4" s="95"/>
      <c r="AA4" s="100" t="s">
        <v>81</v>
      </c>
      <c r="AB4" s="29"/>
      <c r="AC4" s="29"/>
      <c r="AD4" s="29"/>
      <c r="AE4" s="29"/>
    </row>
    <row r="5" spans="1:62" ht="23.25" customHeight="1">
      <c r="A5" s="151" t="s">
        <v>82</v>
      </c>
      <c r="B5" s="101" t="str">
        <f>"일금"&amp;TEXT(C6,"[DBNUM4]G/표준")&amp;"원정"</f>
        <v>일금이백칠십구만원정</v>
      </c>
      <c r="C5" s="76"/>
      <c r="D5" s="102"/>
      <c r="E5" s="76"/>
      <c r="F5" s="76"/>
      <c r="G5" s="76"/>
      <c r="H5" s="76"/>
      <c r="I5" s="76"/>
      <c r="J5" s="76"/>
      <c r="K5" s="76" t="s">
        <v>83</v>
      </c>
      <c r="L5" s="76"/>
      <c r="M5" s="103"/>
      <c r="N5" s="153">
        <f>C6/1.1</f>
        <v>2536363.6363636362</v>
      </c>
      <c r="O5" s="153"/>
      <c r="P5" s="154"/>
      <c r="AA5" s="62" t="s">
        <v>84</v>
      </c>
      <c r="AB5" s="19"/>
    </row>
    <row r="6" spans="1:62" ht="23.25" customHeight="1">
      <c r="A6" s="152"/>
      <c r="B6" s="104"/>
      <c r="C6" s="155">
        <f>★자료입력!L2</f>
        <v>2790000</v>
      </c>
      <c r="D6" s="155"/>
      <c r="E6" s="155"/>
      <c r="F6" s="155"/>
      <c r="G6" s="155"/>
      <c r="H6" s="105" t="s">
        <v>68</v>
      </c>
      <c r="I6" s="106"/>
      <c r="J6" s="106"/>
      <c r="K6" s="106" t="s">
        <v>85</v>
      </c>
      <c r="L6" s="106"/>
      <c r="M6" s="106"/>
      <c r="N6" s="156">
        <f>N5*0.1</f>
        <v>253636.36363636365</v>
      </c>
      <c r="O6" s="156"/>
      <c r="P6" s="157"/>
      <c r="AA6" s="62" t="s">
        <v>86</v>
      </c>
      <c r="AB6" s="19"/>
      <c r="AC6" s="107"/>
    </row>
    <row r="7" spans="1:62" ht="22.5" customHeight="1">
      <c r="A7" s="151" t="s">
        <v>87</v>
      </c>
      <c r="B7" s="75" t="str">
        <f>"일금"&amp;TEXT(C6*0.15,"[DBNUM4]G/표준")&amp;"원정"</f>
        <v>일금사십일만팔천오백원정</v>
      </c>
      <c r="C7" s="102"/>
      <c r="D7" s="102"/>
      <c r="E7" s="102"/>
      <c r="F7" s="102"/>
      <c r="G7" s="102"/>
      <c r="H7" s="102"/>
      <c r="I7" s="108" t="s">
        <v>88</v>
      </c>
      <c r="J7" s="102"/>
      <c r="K7" s="102"/>
      <c r="L7" s="102"/>
      <c r="M7" s="76"/>
      <c r="N7" s="76"/>
      <c r="O7" s="76"/>
      <c r="P7" s="109"/>
      <c r="AA7" s="62" t="s">
        <v>89</v>
      </c>
      <c r="AB7" s="19"/>
    </row>
    <row r="8" spans="1:62" s="19" customFormat="1" ht="22.5" customHeight="1">
      <c r="A8" s="152"/>
      <c r="B8" s="104" t="s">
        <v>68</v>
      </c>
      <c r="C8" s="155">
        <f>C6*0.15</f>
        <v>418500</v>
      </c>
      <c r="D8" s="155"/>
      <c r="E8" s="155"/>
      <c r="F8" s="155"/>
      <c r="G8" s="155"/>
      <c r="H8" s="110" t="s">
        <v>68</v>
      </c>
      <c r="I8" s="111"/>
      <c r="J8" s="111"/>
      <c r="K8" s="111"/>
      <c r="L8" s="111"/>
      <c r="M8" s="106"/>
      <c r="N8" s="106"/>
      <c r="O8" s="106"/>
      <c r="P8" s="112"/>
      <c r="AA8" s="62" t="s">
        <v>90</v>
      </c>
    </row>
    <row r="9" spans="1:62" s="19" customFormat="1" ht="26.25" customHeight="1">
      <c r="A9" s="93" t="s">
        <v>91</v>
      </c>
      <c r="B9" s="167" t="s">
        <v>92</v>
      </c>
      <c r="C9" s="168"/>
      <c r="D9" s="168"/>
      <c r="E9" s="168"/>
      <c r="F9" s="168"/>
      <c r="G9" s="169"/>
      <c r="H9" s="170" t="s">
        <v>93</v>
      </c>
      <c r="I9" s="171"/>
      <c r="J9" s="171"/>
      <c r="K9" s="171"/>
      <c r="L9" s="172"/>
      <c r="M9" s="173" t="s">
        <v>94</v>
      </c>
      <c r="N9" s="174"/>
      <c r="O9" s="174"/>
      <c r="P9" s="175"/>
    </row>
    <row r="10" spans="1:62" s="19" customFormat="1" ht="30" customHeight="1">
      <c r="A10" s="93" t="s">
        <v>95</v>
      </c>
      <c r="B10" s="173" t="s">
        <v>96</v>
      </c>
      <c r="C10" s="174"/>
      <c r="D10" s="174"/>
      <c r="E10" s="174"/>
      <c r="F10" s="174"/>
      <c r="G10" s="175"/>
      <c r="H10" s="170" t="s">
        <v>97</v>
      </c>
      <c r="I10" s="171"/>
      <c r="J10" s="171"/>
      <c r="K10" s="171"/>
      <c r="L10" s="172"/>
      <c r="M10" s="173" t="s">
        <v>98</v>
      </c>
      <c r="N10" s="174"/>
      <c r="O10" s="174"/>
      <c r="P10" s="175"/>
      <c r="AA10" s="98" t="s">
        <v>99</v>
      </c>
      <c r="AB10" s="98"/>
    </row>
    <row r="11" spans="1:62" ht="18" customHeight="1">
      <c r="A11" s="113"/>
      <c r="B11" s="114"/>
      <c r="C11" s="114"/>
      <c r="D11" s="114"/>
      <c r="E11" s="114"/>
      <c r="F11" s="114"/>
      <c r="G11" s="114"/>
      <c r="H11" s="114"/>
      <c r="I11" s="114"/>
      <c r="J11" s="114"/>
      <c r="K11" s="114"/>
      <c r="L11" s="114"/>
      <c r="M11" s="114"/>
      <c r="N11" s="114"/>
      <c r="O11" s="114"/>
      <c r="P11" s="115"/>
      <c r="AA11" s="19"/>
      <c r="AB11" s="19"/>
      <c r="AC11" s="28" t="s">
        <v>100</v>
      </c>
      <c r="AD11" s="28"/>
      <c r="AE11" s="28"/>
      <c r="AF11" s="28"/>
      <c r="AG11" s="28"/>
      <c r="AH11" s="28"/>
      <c r="AI11" s="28"/>
      <c r="AJ11" s="28"/>
      <c r="AK11" s="28"/>
      <c r="AL11" s="28"/>
      <c r="AM11" s="19"/>
      <c r="AN11" s="19"/>
      <c r="AO11" s="19"/>
      <c r="AP11" s="19"/>
      <c r="AQ11" s="19"/>
      <c r="AR11" s="19"/>
      <c r="AS11" s="19"/>
      <c r="AT11" s="19"/>
      <c r="AU11" s="19"/>
      <c r="AV11" s="19"/>
      <c r="AW11" s="19"/>
      <c r="AX11" s="19"/>
      <c r="AY11" s="19"/>
      <c r="AZ11" s="19"/>
      <c r="BA11" s="19"/>
      <c r="BB11" s="19"/>
      <c r="BC11" s="19"/>
      <c r="BD11" s="19"/>
      <c r="BE11" s="19"/>
      <c r="BF11" s="19"/>
      <c r="BG11" s="19"/>
      <c r="BH11" s="19"/>
      <c r="BI11" s="19"/>
      <c r="BJ11" s="19"/>
    </row>
    <row r="12" spans="1:62" ht="23.25" customHeight="1">
      <c r="A12" s="158" t="s">
        <v>101</v>
      </c>
      <c r="B12" s="159"/>
      <c r="C12" s="159"/>
      <c r="D12" s="159"/>
      <c r="E12" s="159"/>
      <c r="F12" s="159"/>
      <c r="G12" s="159"/>
      <c r="H12" s="159"/>
      <c r="I12" s="159"/>
      <c r="J12" s="159"/>
      <c r="K12" s="159"/>
      <c r="L12" s="159"/>
      <c r="M12" s="159"/>
      <c r="N12" s="159"/>
      <c r="O12" s="159"/>
      <c r="P12" s="160"/>
      <c r="AA12" s="19"/>
      <c r="AB12" s="19"/>
      <c r="AC12" s="19" t="s">
        <v>102</v>
      </c>
      <c r="AD12" s="19"/>
      <c r="AE12" s="19"/>
      <c r="AF12" s="19"/>
      <c r="AG12" s="19"/>
      <c r="AH12" s="19"/>
      <c r="AI12" s="19"/>
      <c r="AJ12" s="19"/>
      <c r="AK12" s="19"/>
      <c r="AL12" s="19"/>
      <c r="AM12" s="19"/>
      <c r="AN12" s="19"/>
      <c r="AO12" s="19"/>
      <c r="AP12" s="19"/>
      <c r="AQ12" s="19"/>
      <c r="AR12" s="19"/>
      <c r="AS12" s="19"/>
      <c r="AT12" s="19"/>
      <c r="AU12" s="19"/>
      <c r="AV12" s="19"/>
      <c r="AW12" s="19"/>
      <c r="AX12" s="19"/>
      <c r="AY12" s="19"/>
      <c r="AZ12" s="19"/>
      <c r="BA12" s="19"/>
      <c r="BB12" s="19"/>
      <c r="BC12" s="19"/>
      <c r="BD12" s="19"/>
      <c r="BE12" s="19"/>
      <c r="BF12" s="19"/>
      <c r="BG12" s="19"/>
    </row>
    <row r="13" spans="1:62" ht="23.25" customHeight="1">
      <c r="A13" s="158"/>
      <c r="B13" s="159"/>
      <c r="C13" s="159"/>
      <c r="D13" s="159"/>
      <c r="E13" s="159"/>
      <c r="F13" s="159"/>
      <c r="G13" s="159"/>
      <c r="H13" s="159"/>
      <c r="I13" s="159"/>
      <c r="J13" s="159"/>
      <c r="K13" s="159"/>
      <c r="L13" s="159"/>
      <c r="M13" s="159"/>
      <c r="N13" s="159"/>
      <c r="O13" s="159"/>
      <c r="P13" s="160"/>
      <c r="AA13" s="19" t="s">
        <v>28</v>
      </c>
    </row>
    <row r="14" spans="1:62" ht="23.25" customHeight="1">
      <c r="A14" s="158"/>
      <c r="B14" s="159"/>
      <c r="C14" s="159"/>
      <c r="D14" s="159"/>
      <c r="E14" s="159"/>
      <c r="F14" s="159"/>
      <c r="G14" s="159"/>
      <c r="H14" s="159"/>
      <c r="I14" s="159"/>
      <c r="J14" s="159"/>
      <c r="K14" s="159"/>
      <c r="L14" s="159"/>
      <c r="M14" s="159"/>
      <c r="N14" s="159"/>
      <c r="O14" s="159"/>
      <c r="P14" s="160"/>
      <c r="AA14" s="19" t="s">
        <v>33</v>
      </c>
    </row>
    <row r="15" spans="1:62" ht="23.25" customHeight="1">
      <c r="A15" s="158"/>
      <c r="B15" s="159"/>
      <c r="C15" s="159"/>
      <c r="D15" s="159"/>
      <c r="E15" s="159"/>
      <c r="F15" s="159"/>
      <c r="G15" s="159"/>
      <c r="H15" s="159"/>
      <c r="I15" s="159"/>
      <c r="J15" s="159"/>
      <c r="K15" s="159"/>
      <c r="L15" s="159"/>
      <c r="M15" s="159"/>
      <c r="N15" s="159"/>
      <c r="O15" s="159"/>
      <c r="P15" s="160"/>
      <c r="AA15" s="19" t="s">
        <v>36</v>
      </c>
    </row>
    <row r="16" spans="1:62" ht="18" customHeight="1">
      <c r="A16" s="46"/>
      <c r="B16" s="17"/>
      <c r="C16" s="17"/>
      <c r="D16" s="17"/>
      <c r="E16" s="17"/>
      <c r="F16" s="17"/>
      <c r="G16" s="17"/>
      <c r="H16" s="17"/>
      <c r="I16" s="17"/>
      <c r="J16" s="17"/>
      <c r="K16" s="17"/>
      <c r="L16" s="17"/>
      <c r="M16" s="17"/>
      <c r="N16" s="17"/>
      <c r="O16" s="17"/>
      <c r="P16" s="47"/>
      <c r="AA16" s="19" t="s">
        <v>37</v>
      </c>
    </row>
    <row r="17" spans="1:62" ht="18" customHeight="1">
      <c r="A17" s="46"/>
      <c r="B17" s="17"/>
      <c r="C17" s="17"/>
      <c r="D17" s="17"/>
      <c r="E17" s="17"/>
      <c r="F17" s="17"/>
      <c r="G17" s="17"/>
      <c r="H17" s="17"/>
      <c r="I17" s="17"/>
      <c r="J17" s="17"/>
      <c r="K17" s="17"/>
      <c r="L17" s="17"/>
      <c r="M17" s="17"/>
      <c r="N17" s="17"/>
      <c r="O17" s="17"/>
      <c r="P17" s="47"/>
    </row>
    <row r="18" spans="1:62" ht="18" customHeight="1">
      <c r="A18" s="116" t="s">
        <v>119</v>
      </c>
      <c r="B18" s="117"/>
      <c r="C18" s="117"/>
      <c r="D18" s="117"/>
      <c r="E18" s="117"/>
      <c r="F18" s="117"/>
      <c r="G18" s="117"/>
      <c r="H18" s="117"/>
      <c r="I18" s="117"/>
      <c r="J18" s="117"/>
      <c r="K18" s="117"/>
      <c r="L18" s="117"/>
      <c r="M18" s="117"/>
      <c r="N18" s="117"/>
      <c r="O18" s="117"/>
      <c r="P18" s="118"/>
      <c r="AA18" s="97" t="s">
        <v>103</v>
      </c>
      <c r="AB18" s="119"/>
      <c r="AC18" s="119"/>
    </row>
    <row r="19" spans="1:62" ht="18" customHeight="1">
      <c r="A19" s="46"/>
      <c r="B19" s="17"/>
      <c r="C19" s="17"/>
      <c r="D19" s="17"/>
      <c r="E19" s="17"/>
      <c r="F19" s="17"/>
      <c r="G19" s="17"/>
      <c r="H19" s="17"/>
      <c r="I19" s="17"/>
      <c r="J19" s="17"/>
      <c r="K19" s="17"/>
      <c r="L19" s="17"/>
      <c r="M19" s="17"/>
      <c r="N19" s="17"/>
      <c r="O19" s="17"/>
      <c r="P19" s="47"/>
      <c r="AA19" s="62" t="s">
        <v>104</v>
      </c>
    </row>
    <row r="20" spans="1:62" ht="18" customHeight="1">
      <c r="A20" s="46"/>
      <c r="B20" s="17"/>
      <c r="C20" s="17"/>
      <c r="D20" s="17"/>
      <c r="E20" s="17"/>
      <c r="F20" s="17"/>
      <c r="G20" s="120"/>
      <c r="H20" s="121"/>
      <c r="I20" s="122"/>
      <c r="J20" s="121"/>
      <c r="K20" s="120"/>
      <c r="L20" s="120"/>
      <c r="M20" s="120"/>
      <c r="N20" s="123"/>
      <c r="O20" s="124"/>
      <c r="P20" s="47"/>
      <c r="Q20" s="125"/>
      <c r="R20" s="125"/>
      <c r="S20" s="126"/>
      <c r="T20" s="126"/>
      <c r="U20" s="127"/>
      <c r="V20" s="126"/>
      <c r="W20" s="126"/>
      <c r="X20" s="128"/>
      <c r="Y20" s="126"/>
      <c r="Z20" s="125"/>
      <c r="AA20" s="62" t="s">
        <v>105</v>
      </c>
    </row>
    <row r="21" spans="1:62" ht="18" customHeight="1">
      <c r="A21" s="46"/>
      <c r="B21" s="17"/>
      <c r="C21" s="17"/>
      <c r="D21" s="17"/>
      <c r="E21" s="17"/>
      <c r="F21" s="17"/>
      <c r="G21" s="17"/>
      <c r="H21" s="17"/>
      <c r="I21" s="17"/>
      <c r="J21" s="17"/>
      <c r="K21" s="17"/>
      <c r="L21" s="17"/>
      <c r="M21" s="17"/>
      <c r="N21" s="17"/>
      <c r="O21" s="17"/>
      <c r="P21" s="47"/>
      <c r="AA21" s="72" t="s">
        <v>54</v>
      </c>
      <c r="AB21" s="79"/>
      <c r="AC21" s="79"/>
      <c r="AD21" s="79"/>
      <c r="AE21" s="79"/>
      <c r="AF21" s="79"/>
      <c r="AG21" s="79"/>
      <c r="AH21" s="79"/>
      <c r="AI21" s="80"/>
    </row>
    <row r="22" spans="1:62" ht="18" customHeight="1">
      <c r="A22" s="46"/>
      <c r="B22" s="17"/>
      <c r="C22" s="17"/>
      <c r="D22" s="17"/>
      <c r="E22" s="17"/>
      <c r="F22" s="17"/>
      <c r="G22" s="17"/>
      <c r="H22" s="17"/>
      <c r="I22" s="17"/>
      <c r="J22" s="17"/>
      <c r="K22" s="17"/>
      <c r="L22" s="17"/>
      <c r="M22" s="17"/>
      <c r="N22" s="17"/>
      <c r="O22" s="17"/>
      <c r="P22" s="47"/>
      <c r="AA22" s="100" t="s">
        <v>57</v>
      </c>
      <c r="AB22" s="129"/>
      <c r="AC22" s="130"/>
      <c r="AD22" s="131"/>
      <c r="AE22" s="132"/>
      <c r="AF22" s="133"/>
      <c r="AG22" s="134"/>
      <c r="AH22" s="135"/>
      <c r="AI22" s="133"/>
      <c r="AJ22" s="136"/>
      <c r="AK22" s="134"/>
    </row>
    <row r="23" spans="1:62" s="19" customFormat="1" ht="18" customHeight="1">
      <c r="A23" s="161" t="str">
        <f>LEFT(★자료입력!H2,4)&amp;"년"&amp;MID(★자료입력!H2,6,2)&amp;"월"&amp;MID(★자료입력!H2,9,2)&amp;"일"</f>
        <v>2025년09월26일</v>
      </c>
      <c r="B23" s="162"/>
      <c r="C23" s="162"/>
      <c r="D23" s="162"/>
      <c r="E23" s="162"/>
      <c r="F23" s="162"/>
      <c r="G23" s="162"/>
      <c r="H23" s="162"/>
      <c r="I23" s="162"/>
      <c r="J23" s="162"/>
      <c r="K23" s="162"/>
      <c r="L23" s="162"/>
      <c r="M23" s="162"/>
      <c r="N23" s="162"/>
      <c r="O23" s="162"/>
      <c r="P23" s="163"/>
      <c r="AA23" s="62" t="s">
        <v>58</v>
      </c>
      <c r="AB23"/>
      <c r="AC23"/>
      <c r="AD23"/>
      <c r="AE23"/>
      <c r="AF23"/>
      <c r="AG23"/>
      <c r="AH23"/>
      <c r="AI23"/>
      <c r="AJ23"/>
      <c r="AK23"/>
      <c r="AL23"/>
      <c r="AM23"/>
      <c r="AN23"/>
      <c r="AO23"/>
      <c r="AP23"/>
      <c r="AQ23"/>
      <c r="AR23"/>
      <c r="AS23"/>
      <c r="AT23"/>
      <c r="AU23"/>
      <c r="AV23"/>
      <c r="AW23"/>
      <c r="AX23"/>
      <c r="AY23"/>
      <c r="AZ23"/>
      <c r="BA23"/>
      <c r="BB23"/>
      <c r="BC23"/>
      <c r="BD23"/>
      <c r="BE23"/>
      <c r="BF23"/>
      <c r="BG23"/>
      <c r="BH23"/>
      <c r="BI23"/>
      <c r="BJ23"/>
    </row>
    <row r="24" spans="1:62" ht="14.25" customHeight="1">
      <c r="A24" s="46"/>
      <c r="B24" s="17"/>
      <c r="C24" s="17"/>
      <c r="D24" s="17"/>
      <c r="E24" s="17"/>
      <c r="F24" s="17"/>
      <c r="G24" s="17"/>
      <c r="H24" s="17"/>
      <c r="I24" s="17"/>
      <c r="J24" s="17"/>
      <c r="K24" s="17"/>
      <c r="L24" s="17"/>
      <c r="M24" s="17"/>
      <c r="N24" s="17"/>
      <c r="O24" s="17"/>
      <c r="P24" s="47"/>
      <c r="AA24" s="62" t="s">
        <v>59</v>
      </c>
      <c r="BH24" s="19"/>
      <c r="BI24" s="19"/>
      <c r="BJ24" s="19"/>
    </row>
    <row r="25" spans="1:62" ht="14.25" customHeight="1">
      <c r="A25" s="46"/>
      <c r="B25" s="17"/>
      <c r="C25" s="17"/>
      <c r="D25" s="17"/>
      <c r="E25" s="17"/>
      <c r="F25" s="17"/>
      <c r="G25" s="17"/>
      <c r="H25" s="17"/>
      <c r="I25" s="17"/>
      <c r="J25" s="17"/>
      <c r="K25" s="17"/>
      <c r="L25" s="17"/>
      <c r="M25" s="17"/>
      <c r="N25" s="17"/>
      <c r="O25" s="17"/>
      <c r="P25" s="47"/>
      <c r="AA25" s="62" t="s">
        <v>61</v>
      </c>
      <c r="AB25" s="19"/>
      <c r="AC25" s="19"/>
      <c r="AD25" s="19"/>
      <c r="AE25" s="19"/>
      <c r="AF25" s="19"/>
      <c r="AG25" s="19"/>
      <c r="AH25" s="19"/>
      <c r="AI25" s="19"/>
      <c r="AJ25" s="19"/>
      <c r="AK25" s="19"/>
      <c r="AL25" s="19"/>
      <c r="AM25" s="19"/>
      <c r="AN25" s="19"/>
      <c r="AO25" s="19"/>
      <c r="AP25" s="19"/>
      <c r="AQ25" s="19"/>
      <c r="AR25" s="19"/>
      <c r="AS25" s="19"/>
      <c r="AT25" s="19"/>
      <c r="AU25" s="19"/>
      <c r="AV25" s="19"/>
      <c r="AW25" s="19"/>
      <c r="AX25" s="19"/>
      <c r="AY25" s="19"/>
      <c r="AZ25" s="19"/>
      <c r="BA25" s="19"/>
      <c r="BB25" s="19"/>
      <c r="BC25" s="19"/>
      <c r="BD25" s="19"/>
      <c r="BE25" s="19"/>
      <c r="BF25" s="19"/>
      <c r="BG25" s="19"/>
    </row>
    <row r="26" spans="1:62" ht="14.25" customHeight="1">
      <c r="A26" s="46"/>
      <c r="B26" s="17"/>
      <c r="C26" s="17"/>
      <c r="D26" s="17"/>
      <c r="E26" s="17"/>
      <c r="F26" s="17"/>
      <c r="G26" s="17"/>
      <c r="H26" s="17"/>
      <c r="I26" s="17"/>
      <c r="J26" s="17"/>
      <c r="K26" s="17"/>
      <c r="L26" s="17"/>
      <c r="M26" s="17"/>
      <c r="N26" s="17"/>
      <c r="O26" s="17"/>
      <c r="P26" s="47"/>
      <c r="AA26" s="62" t="s">
        <v>63</v>
      </c>
    </row>
    <row r="27" spans="1:62" ht="17.25" customHeight="1">
      <c r="A27" s="137" t="s">
        <v>106</v>
      </c>
      <c r="C27" s="138" t="s">
        <v>107</v>
      </c>
      <c r="D27" s="139" t="str">
        <f>★자료입력!Q2</f>
        <v>서울시 송파구 토성로 38-6번지</v>
      </c>
      <c r="E27" s="82"/>
      <c r="F27" s="82"/>
      <c r="G27" s="82"/>
      <c r="H27" s="82"/>
      <c r="I27" s="82"/>
      <c r="J27" s="82"/>
      <c r="K27" s="82"/>
      <c r="L27" s="82"/>
      <c r="M27" s="82"/>
      <c r="N27" s="82"/>
      <c r="O27" s="82"/>
      <c r="P27" s="83"/>
    </row>
    <row r="28" spans="1:62" ht="17.25" customHeight="1">
      <c r="A28" s="46"/>
      <c r="B28" s="17"/>
      <c r="C28" s="138"/>
      <c r="D28" s="17"/>
      <c r="E28" s="82"/>
      <c r="F28" s="82"/>
      <c r="G28" s="82"/>
      <c r="H28" s="82"/>
      <c r="I28" s="82"/>
      <c r="J28" s="82"/>
      <c r="K28" s="82"/>
      <c r="L28" s="82"/>
      <c r="M28" s="82"/>
      <c r="N28" s="82"/>
      <c r="O28" s="82"/>
      <c r="P28" s="83"/>
      <c r="AA28" s="119" t="s">
        <v>108</v>
      </c>
      <c r="AB28" s="119"/>
    </row>
    <row r="29" spans="1:62" ht="17.25" customHeight="1">
      <c r="A29" s="46"/>
      <c r="B29" s="17"/>
      <c r="C29" s="138" t="s">
        <v>109</v>
      </c>
      <c r="D29" s="17" t="str">
        <f>★자료입력!N2</f>
        <v>경은엔지니어링</v>
      </c>
      <c r="E29" s="82"/>
      <c r="F29" s="82"/>
      <c r="G29" s="82"/>
      <c r="H29" s="82"/>
      <c r="I29" s="82"/>
      <c r="J29" s="82"/>
      <c r="K29" s="82"/>
      <c r="L29" s="82"/>
      <c r="M29" s="82"/>
      <c r="N29" s="82"/>
      <c r="O29" s="82"/>
      <c r="P29" s="83"/>
      <c r="AA29" s="79" t="s">
        <v>110</v>
      </c>
      <c r="AB29" s="79"/>
    </row>
    <row r="30" spans="1:62" ht="17.25" customHeight="1">
      <c r="A30" s="46"/>
      <c r="B30" s="17"/>
      <c r="C30" s="138"/>
      <c r="D30" s="17"/>
      <c r="E30" s="82"/>
      <c r="F30" s="82"/>
      <c r="G30" s="82"/>
      <c r="H30" s="82"/>
      <c r="I30" s="82"/>
      <c r="J30" s="82"/>
      <c r="K30" s="82"/>
      <c r="L30" s="82"/>
      <c r="M30" s="82" t="s">
        <v>111</v>
      </c>
      <c r="N30" s="82"/>
      <c r="O30" s="82"/>
      <c r="P30" s="83"/>
      <c r="AA30" t="s">
        <v>112</v>
      </c>
    </row>
    <row r="31" spans="1:62" ht="17.25" customHeight="1">
      <c r="A31" s="46"/>
      <c r="B31" s="17"/>
      <c r="C31" s="138" t="s">
        <v>113</v>
      </c>
      <c r="D31" s="17" t="str">
        <f>★자료입력!P2&amp;"     (인)"</f>
        <v>김강수     (인)</v>
      </c>
      <c r="E31" s="82"/>
      <c r="F31" s="82"/>
      <c r="G31" s="82"/>
      <c r="H31" s="82"/>
      <c r="I31" s="82"/>
      <c r="J31" s="82"/>
      <c r="K31" s="82"/>
      <c r="L31" s="82"/>
      <c r="M31" s="82"/>
      <c r="N31" s="82"/>
      <c r="O31" s="82"/>
      <c r="P31" s="83"/>
      <c r="AA31" t="s">
        <v>114</v>
      </c>
    </row>
    <row r="32" spans="1:62" ht="16.5">
      <c r="A32" s="46"/>
      <c r="B32" s="17"/>
      <c r="C32" s="17"/>
      <c r="D32" s="17"/>
      <c r="E32" s="17"/>
      <c r="F32" s="17"/>
      <c r="G32" s="17"/>
      <c r="H32" s="17"/>
      <c r="I32" s="17"/>
      <c r="J32" s="17"/>
      <c r="K32" s="17"/>
      <c r="L32" s="17"/>
      <c r="M32" s="17"/>
      <c r="N32" s="17"/>
      <c r="O32" s="17"/>
      <c r="P32" s="47"/>
      <c r="Q32" t="s">
        <v>115</v>
      </c>
      <c r="AA32" t="s">
        <v>116</v>
      </c>
    </row>
    <row r="33" spans="1:27" ht="16.5">
      <c r="A33" s="46"/>
      <c r="B33" s="17"/>
      <c r="C33" s="17"/>
      <c r="D33" s="17"/>
      <c r="E33" s="17"/>
      <c r="F33" s="17"/>
      <c r="G33" s="17"/>
      <c r="H33" s="17"/>
      <c r="I33" s="17"/>
      <c r="J33" s="17"/>
      <c r="K33" s="17"/>
      <c r="L33" s="17"/>
      <c r="M33" s="17"/>
      <c r="N33" s="17"/>
      <c r="O33" s="17"/>
      <c r="P33" s="47"/>
      <c r="AA33" t="s">
        <v>117</v>
      </c>
    </row>
    <row r="34" spans="1:27" ht="26.25">
      <c r="A34" s="164" t="s">
        <v>118</v>
      </c>
      <c r="B34" s="165"/>
      <c r="C34" s="165"/>
      <c r="D34" s="165"/>
      <c r="E34" s="165"/>
      <c r="F34" s="165"/>
      <c r="G34" s="165"/>
      <c r="H34" s="165"/>
      <c r="I34" s="165"/>
      <c r="J34" s="165"/>
      <c r="K34" s="165"/>
      <c r="L34" s="165"/>
      <c r="M34" s="165"/>
      <c r="N34" s="165"/>
      <c r="O34" s="165"/>
      <c r="P34" s="166"/>
    </row>
    <row r="35" spans="1:27" ht="16.5">
      <c r="A35" s="46"/>
      <c r="B35" s="17"/>
      <c r="C35" s="17"/>
      <c r="D35" s="17"/>
      <c r="E35" s="17"/>
      <c r="F35" s="17"/>
      <c r="G35" s="17"/>
      <c r="H35" s="17"/>
      <c r="I35" s="17"/>
      <c r="J35" s="17"/>
      <c r="K35" s="17"/>
      <c r="L35" s="17"/>
      <c r="M35" s="17"/>
      <c r="N35" s="17"/>
      <c r="O35" s="17"/>
      <c r="P35" s="47"/>
    </row>
    <row r="36" spans="1:27" ht="2.25" customHeight="1">
      <c r="A36" s="140"/>
      <c r="B36" s="141"/>
      <c r="C36" s="141"/>
      <c r="D36" s="141"/>
      <c r="E36" s="141"/>
      <c r="F36" s="141"/>
      <c r="G36" s="141"/>
      <c r="H36" s="141"/>
      <c r="I36" s="141"/>
      <c r="J36" s="141"/>
      <c r="K36" s="141"/>
      <c r="L36" s="141"/>
      <c r="M36" s="141"/>
      <c r="N36" s="141"/>
      <c r="O36" s="141"/>
      <c r="P36" s="142"/>
    </row>
    <row r="37" spans="1:27" hidden="1"/>
    <row r="38" spans="1:27" hidden="1"/>
    <row r="39" spans="1:27" ht="3.75" customHeight="1"/>
  </sheetData>
  <mergeCells count="19">
    <mergeCell ref="A12:P15"/>
    <mergeCell ref="A23:P23"/>
    <mergeCell ref="A34:P34"/>
    <mergeCell ref="A7:A8"/>
    <mergeCell ref="C8:G8"/>
    <mergeCell ref="B9:G9"/>
    <mergeCell ref="H9:L9"/>
    <mergeCell ref="M9:P9"/>
    <mergeCell ref="B10:G10"/>
    <mergeCell ref="H10:L10"/>
    <mergeCell ref="M10:P10"/>
    <mergeCell ref="A2:P2"/>
    <mergeCell ref="B3:N3"/>
    <mergeCell ref="B4:F4"/>
    <mergeCell ref="I4:M4"/>
    <mergeCell ref="A5:A6"/>
    <mergeCell ref="N5:P5"/>
    <mergeCell ref="C6:G6"/>
    <mergeCell ref="N6:P6"/>
  </mergeCells>
  <phoneticPr fontId="3" type="noConversion"/>
  <printOptions horizontalCentered="1" verticalCentered="1"/>
  <pageMargins left="0.47244094488188981" right="0.23622047244094491" top="0.74803149606299213" bottom="0.74803149606299213" header="0.31496062992125984" footer="0.31496062992125984"/>
  <pageSetup paperSize="9" scale="94" pageOrder="overThenDown" orientation="portrait"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0F56D1-9E06-4595-A9BF-A5996FA7A2A2}">
  <sheetPr>
    <tabColor rgb="FF00B0F0"/>
    <pageSetUpPr fitToPage="1"/>
  </sheetPr>
  <dimension ref="A1:W35"/>
  <sheetViews>
    <sheetView topLeftCell="A5" zoomScaleNormal="100" workbookViewId="0">
      <selection activeCell="D30" sqref="D30"/>
    </sheetView>
  </sheetViews>
  <sheetFormatPr defaultRowHeight="13.5"/>
  <cols>
    <col min="1" max="1" width="1.88671875" customWidth="1"/>
    <col min="2" max="2" width="13" customWidth="1"/>
    <col min="3" max="3" width="14" customWidth="1"/>
    <col min="4" max="4" width="9.21875" customWidth="1"/>
    <col min="5" max="5" width="9.109375" customWidth="1"/>
    <col min="6" max="6" width="1.88671875" bestFit="1" customWidth="1"/>
    <col min="7" max="7" width="13.21875" customWidth="1"/>
    <col min="8" max="8" width="2.77734375" customWidth="1"/>
    <col min="9" max="9" width="18.77734375" customWidth="1"/>
    <col min="257" max="257" width="1.88671875" customWidth="1"/>
    <col min="258" max="258" width="13" customWidth="1"/>
    <col min="259" max="259" width="14" customWidth="1"/>
    <col min="260" max="260" width="9.21875" customWidth="1"/>
    <col min="261" max="261" width="9.109375" customWidth="1"/>
    <col min="262" max="262" width="1.88671875" bestFit="1" customWidth="1"/>
    <col min="263" max="263" width="13.21875" customWidth="1"/>
    <col min="264" max="264" width="2.77734375" customWidth="1"/>
    <col min="265" max="265" width="18.77734375" customWidth="1"/>
    <col min="513" max="513" width="1.88671875" customWidth="1"/>
    <col min="514" max="514" width="13" customWidth="1"/>
    <col min="515" max="515" width="14" customWidth="1"/>
    <col min="516" max="516" width="9.21875" customWidth="1"/>
    <col min="517" max="517" width="9.109375" customWidth="1"/>
    <col min="518" max="518" width="1.88671875" bestFit="1" customWidth="1"/>
    <col min="519" max="519" width="13.21875" customWidth="1"/>
    <col min="520" max="520" width="2.77734375" customWidth="1"/>
    <col min="521" max="521" width="18.77734375" customWidth="1"/>
    <col min="769" max="769" width="1.88671875" customWidth="1"/>
    <col min="770" max="770" width="13" customWidth="1"/>
    <col min="771" max="771" width="14" customWidth="1"/>
    <col min="772" max="772" width="9.21875" customWidth="1"/>
    <col min="773" max="773" width="9.109375" customWidth="1"/>
    <col min="774" max="774" width="1.88671875" bestFit="1" customWidth="1"/>
    <col min="775" max="775" width="13.21875" customWidth="1"/>
    <col min="776" max="776" width="2.77734375" customWidth="1"/>
    <col min="777" max="777" width="18.77734375" customWidth="1"/>
    <col min="1025" max="1025" width="1.88671875" customWidth="1"/>
    <col min="1026" max="1026" width="13" customWidth="1"/>
    <col min="1027" max="1027" width="14" customWidth="1"/>
    <col min="1028" max="1028" width="9.21875" customWidth="1"/>
    <col min="1029" max="1029" width="9.109375" customWidth="1"/>
    <col min="1030" max="1030" width="1.88671875" bestFit="1" customWidth="1"/>
    <col min="1031" max="1031" width="13.21875" customWidth="1"/>
    <col min="1032" max="1032" width="2.77734375" customWidth="1"/>
    <col min="1033" max="1033" width="18.77734375" customWidth="1"/>
    <col min="1281" max="1281" width="1.88671875" customWidth="1"/>
    <col min="1282" max="1282" width="13" customWidth="1"/>
    <col min="1283" max="1283" width="14" customWidth="1"/>
    <col min="1284" max="1284" width="9.21875" customWidth="1"/>
    <col min="1285" max="1285" width="9.109375" customWidth="1"/>
    <col min="1286" max="1286" width="1.88671875" bestFit="1" customWidth="1"/>
    <col min="1287" max="1287" width="13.21875" customWidth="1"/>
    <col min="1288" max="1288" width="2.77734375" customWidth="1"/>
    <col min="1289" max="1289" width="18.77734375" customWidth="1"/>
    <col min="1537" max="1537" width="1.88671875" customWidth="1"/>
    <col min="1538" max="1538" width="13" customWidth="1"/>
    <col min="1539" max="1539" width="14" customWidth="1"/>
    <col min="1540" max="1540" width="9.21875" customWidth="1"/>
    <col min="1541" max="1541" width="9.109375" customWidth="1"/>
    <col min="1542" max="1542" width="1.88671875" bestFit="1" customWidth="1"/>
    <col min="1543" max="1543" width="13.21875" customWidth="1"/>
    <col min="1544" max="1544" width="2.77734375" customWidth="1"/>
    <col min="1545" max="1545" width="18.77734375" customWidth="1"/>
    <col min="1793" max="1793" width="1.88671875" customWidth="1"/>
    <col min="1794" max="1794" width="13" customWidth="1"/>
    <col min="1795" max="1795" width="14" customWidth="1"/>
    <col min="1796" max="1796" width="9.21875" customWidth="1"/>
    <col min="1797" max="1797" width="9.109375" customWidth="1"/>
    <col min="1798" max="1798" width="1.88671875" bestFit="1" customWidth="1"/>
    <col min="1799" max="1799" width="13.21875" customWidth="1"/>
    <col min="1800" max="1800" width="2.77734375" customWidth="1"/>
    <col min="1801" max="1801" width="18.77734375" customWidth="1"/>
    <col min="2049" max="2049" width="1.88671875" customWidth="1"/>
    <col min="2050" max="2050" width="13" customWidth="1"/>
    <col min="2051" max="2051" width="14" customWidth="1"/>
    <col min="2052" max="2052" width="9.21875" customWidth="1"/>
    <col min="2053" max="2053" width="9.109375" customWidth="1"/>
    <col min="2054" max="2054" width="1.88671875" bestFit="1" customWidth="1"/>
    <col min="2055" max="2055" width="13.21875" customWidth="1"/>
    <col min="2056" max="2056" width="2.77734375" customWidth="1"/>
    <col min="2057" max="2057" width="18.77734375" customWidth="1"/>
    <col min="2305" max="2305" width="1.88671875" customWidth="1"/>
    <col min="2306" max="2306" width="13" customWidth="1"/>
    <col min="2307" max="2307" width="14" customWidth="1"/>
    <col min="2308" max="2308" width="9.21875" customWidth="1"/>
    <col min="2309" max="2309" width="9.109375" customWidth="1"/>
    <col min="2310" max="2310" width="1.88671875" bestFit="1" customWidth="1"/>
    <col min="2311" max="2311" width="13.21875" customWidth="1"/>
    <col min="2312" max="2312" width="2.77734375" customWidth="1"/>
    <col min="2313" max="2313" width="18.77734375" customWidth="1"/>
    <col min="2561" max="2561" width="1.88671875" customWidth="1"/>
    <col min="2562" max="2562" width="13" customWidth="1"/>
    <col min="2563" max="2563" width="14" customWidth="1"/>
    <col min="2564" max="2564" width="9.21875" customWidth="1"/>
    <col min="2565" max="2565" width="9.109375" customWidth="1"/>
    <col min="2566" max="2566" width="1.88671875" bestFit="1" customWidth="1"/>
    <col min="2567" max="2567" width="13.21875" customWidth="1"/>
    <col min="2568" max="2568" width="2.77734375" customWidth="1"/>
    <col min="2569" max="2569" width="18.77734375" customWidth="1"/>
    <col min="2817" max="2817" width="1.88671875" customWidth="1"/>
    <col min="2818" max="2818" width="13" customWidth="1"/>
    <col min="2819" max="2819" width="14" customWidth="1"/>
    <col min="2820" max="2820" width="9.21875" customWidth="1"/>
    <col min="2821" max="2821" width="9.109375" customWidth="1"/>
    <col min="2822" max="2822" width="1.88671875" bestFit="1" customWidth="1"/>
    <col min="2823" max="2823" width="13.21875" customWidth="1"/>
    <col min="2824" max="2824" width="2.77734375" customWidth="1"/>
    <col min="2825" max="2825" width="18.77734375" customWidth="1"/>
    <col min="3073" max="3073" width="1.88671875" customWidth="1"/>
    <col min="3074" max="3074" width="13" customWidth="1"/>
    <col min="3075" max="3075" width="14" customWidth="1"/>
    <col min="3076" max="3076" width="9.21875" customWidth="1"/>
    <col min="3077" max="3077" width="9.109375" customWidth="1"/>
    <col min="3078" max="3078" width="1.88671875" bestFit="1" customWidth="1"/>
    <col min="3079" max="3079" width="13.21875" customWidth="1"/>
    <col min="3080" max="3080" width="2.77734375" customWidth="1"/>
    <col min="3081" max="3081" width="18.77734375" customWidth="1"/>
    <col min="3329" max="3329" width="1.88671875" customWidth="1"/>
    <col min="3330" max="3330" width="13" customWidth="1"/>
    <col min="3331" max="3331" width="14" customWidth="1"/>
    <col min="3332" max="3332" width="9.21875" customWidth="1"/>
    <col min="3333" max="3333" width="9.109375" customWidth="1"/>
    <col min="3334" max="3334" width="1.88671875" bestFit="1" customWidth="1"/>
    <col min="3335" max="3335" width="13.21875" customWidth="1"/>
    <col min="3336" max="3336" width="2.77734375" customWidth="1"/>
    <col min="3337" max="3337" width="18.77734375" customWidth="1"/>
    <col min="3585" max="3585" width="1.88671875" customWidth="1"/>
    <col min="3586" max="3586" width="13" customWidth="1"/>
    <col min="3587" max="3587" width="14" customWidth="1"/>
    <col min="3588" max="3588" width="9.21875" customWidth="1"/>
    <col min="3589" max="3589" width="9.109375" customWidth="1"/>
    <col min="3590" max="3590" width="1.88671875" bestFit="1" customWidth="1"/>
    <col min="3591" max="3591" width="13.21875" customWidth="1"/>
    <col min="3592" max="3592" width="2.77734375" customWidth="1"/>
    <col min="3593" max="3593" width="18.77734375" customWidth="1"/>
    <col min="3841" max="3841" width="1.88671875" customWidth="1"/>
    <col min="3842" max="3842" width="13" customWidth="1"/>
    <col min="3843" max="3843" width="14" customWidth="1"/>
    <col min="3844" max="3844" width="9.21875" customWidth="1"/>
    <col min="3845" max="3845" width="9.109375" customWidth="1"/>
    <col min="3846" max="3846" width="1.88671875" bestFit="1" customWidth="1"/>
    <col min="3847" max="3847" width="13.21875" customWidth="1"/>
    <col min="3848" max="3848" width="2.77734375" customWidth="1"/>
    <col min="3849" max="3849" width="18.77734375" customWidth="1"/>
    <col min="4097" max="4097" width="1.88671875" customWidth="1"/>
    <col min="4098" max="4098" width="13" customWidth="1"/>
    <col min="4099" max="4099" width="14" customWidth="1"/>
    <col min="4100" max="4100" width="9.21875" customWidth="1"/>
    <col min="4101" max="4101" width="9.109375" customWidth="1"/>
    <col min="4102" max="4102" width="1.88671875" bestFit="1" customWidth="1"/>
    <col min="4103" max="4103" width="13.21875" customWidth="1"/>
    <col min="4104" max="4104" width="2.77734375" customWidth="1"/>
    <col min="4105" max="4105" width="18.77734375" customWidth="1"/>
    <col min="4353" max="4353" width="1.88671875" customWidth="1"/>
    <col min="4354" max="4354" width="13" customWidth="1"/>
    <col min="4355" max="4355" width="14" customWidth="1"/>
    <col min="4356" max="4356" width="9.21875" customWidth="1"/>
    <col min="4357" max="4357" width="9.109375" customWidth="1"/>
    <col min="4358" max="4358" width="1.88671875" bestFit="1" customWidth="1"/>
    <col min="4359" max="4359" width="13.21875" customWidth="1"/>
    <col min="4360" max="4360" width="2.77734375" customWidth="1"/>
    <col min="4361" max="4361" width="18.77734375" customWidth="1"/>
    <col min="4609" max="4609" width="1.88671875" customWidth="1"/>
    <col min="4610" max="4610" width="13" customWidth="1"/>
    <col min="4611" max="4611" width="14" customWidth="1"/>
    <col min="4612" max="4612" width="9.21875" customWidth="1"/>
    <col min="4613" max="4613" width="9.109375" customWidth="1"/>
    <col min="4614" max="4614" width="1.88671875" bestFit="1" customWidth="1"/>
    <col min="4615" max="4615" width="13.21875" customWidth="1"/>
    <col min="4616" max="4616" width="2.77734375" customWidth="1"/>
    <col min="4617" max="4617" width="18.77734375" customWidth="1"/>
    <col min="4865" max="4865" width="1.88671875" customWidth="1"/>
    <col min="4866" max="4866" width="13" customWidth="1"/>
    <col min="4867" max="4867" width="14" customWidth="1"/>
    <col min="4868" max="4868" width="9.21875" customWidth="1"/>
    <col min="4869" max="4869" width="9.109375" customWidth="1"/>
    <col min="4870" max="4870" width="1.88671875" bestFit="1" customWidth="1"/>
    <col min="4871" max="4871" width="13.21875" customWidth="1"/>
    <col min="4872" max="4872" width="2.77734375" customWidth="1"/>
    <col min="4873" max="4873" width="18.77734375" customWidth="1"/>
    <col min="5121" max="5121" width="1.88671875" customWidth="1"/>
    <col min="5122" max="5122" width="13" customWidth="1"/>
    <col min="5123" max="5123" width="14" customWidth="1"/>
    <col min="5124" max="5124" width="9.21875" customWidth="1"/>
    <col min="5125" max="5125" width="9.109375" customWidth="1"/>
    <col min="5126" max="5126" width="1.88671875" bestFit="1" customWidth="1"/>
    <col min="5127" max="5127" width="13.21875" customWidth="1"/>
    <col min="5128" max="5128" width="2.77734375" customWidth="1"/>
    <col min="5129" max="5129" width="18.77734375" customWidth="1"/>
    <col min="5377" max="5377" width="1.88671875" customWidth="1"/>
    <col min="5378" max="5378" width="13" customWidth="1"/>
    <col min="5379" max="5379" width="14" customWidth="1"/>
    <col min="5380" max="5380" width="9.21875" customWidth="1"/>
    <col min="5381" max="5381" width="9.109375" customWidth="1"/>
    <col min="5382" max="5382" width="1.88671875" bestFit="1" customWidth="1"/>
    <col min="5383" max="5383" width="13.21875" customWidth="1"/>
    <col min="5384" max="5384" width="2.77734375" customWidth="1"/>
    <col min="5385" max="5385" width="18.77734375" customWidth="1"/>
    <col min="5633" max="5633" width="1.88671875" customWidth="1"/>
    <col min="5634" max="5634" width="13" customWidth="1"/>
    <col min="5635" max="5635" width="14" customWidth="1"/>
    <col min="5636" max="5636" width="9.21875" customWidth="1"/>
    <col min="5637" max="5637" width="9.109375" customWidth="1"/>
    <col min="5638" max="5638" width="1.88671875" bestFit="1" customWidth="1"/>
    <col min="5639" max="5639" width="13.21875" customWidth="1"/>
    <col min="5640" max="5640" width="2.77734375" customWidth="1"/>
    <col min="5641" max="5641" width="18.77734375" customWidth="1"/>
    <col min="5889" max="5889" width="1.88671875" customWidth="1"/>
    <col min="5890" max="5890" width="13" customWidth="1"/>
    <col min="5891" max="5891" width="14" customWidth="1"/>
    <col min="5892" max="5892" width="9.21875" customWidth="1"/>
    <col min="5893" max="5893" width="9.109375" customWidth="1"/>
    <col min="5894" max="5894" width="1.88671875" bestFit="1" customWidth="1"/>
    <col min="5895" max="5895" width="13.21875" customWidth="1"/>
    <col min="5896" max="5896" width="2.77734375" customWidth="1"/>
    <col min="5897" max="5897" width="18.77734375" customWidth="1"/>
    <col min="6145" max="6145" width="1.88671875" customWidth="1"/>
    <col min="6146" max="6146" width="13" customWidth="1"/>
    <col min="6147" max="6147" width="14" customWidth="1"/>
    <col min="6148" max="6148" width="9.21875" customWidth="1"/>
    <col min="6149" max="6149" width="9.109375" customWidth="1"/>
    <col min="6150" max="6150" width="1.88671875" bestFit="1" customWidth="1"/>
    <col min="6151" max="6151" width="13.21875" customWidth="1"/>
    <col min="6152" max="6152" width="2.77734375" customWidth="1"/>
    <col min="6153" max="6153" width="18.77734375" customWidth="1"/>
    <col min="6401" max="6401" width="1.88671875" customWidth="1"/>
    <col min="6402" max="6402" width="13" customWidth="1"/>
    <col min="6403" max="6403" width="14" customWidth="1"/>
    <col min="6404" max="6404" width="9.21875" customWidth="1"/>
    <col min="6405" max="6405" width="9.109375" customWidth="1"/>
    <col min="6406" max="6406" width="1.88671875" bestFit="1" customWidth="1"/>
    <col min="6407" max="6407" width="13.21875" customWidth="1"/>
    <col min="6408" max="6408" width="2.77734375" customWidth="1"/>
    <col min="6409" max="6409" width="18.77734375" customWidth="1"/>
    <col min="6657" max="6657" width="1.88671875" customWidth="1"/>
    <col min="6658" max="6658" width="13" customWidth="1"/>
    <col min="6659" max="6659" width="14" customWidth="1"/>
    <col min="6660" max="6660" width="9.21875" customWidth="1"/>
    <col min="6661" max="6661" width="9.109375" customWidth="1"/>
    <col min="6662" max="6662" width="1.88671875" bestFit="1" customWidth="1"/>
    <col min="6663" max="6663" width="13.21875" customWidth="1"/>
    <col min="6664" max="6664" width="2.77734375" customWidth="1"/>
    <col min="6665" max="6665" width="18.77734375" customWidth="1"/>
    <col min="6913" max="6913" width="1.88671875" customWidth="1"/>
    <col min="6914" max="6914" width="13" customWidth="1"/>
    <col min="6915" max="6915" width="14" customWidth="1"/>
    <col min="6916" max="6916" width="9.21875" customWidth="1"/>
    <col min="6917" max="6917" width="9.109375" customWidth="1"/>
    <col min="6918" max="6918" width="1.88671875" bestFit="1" customWidth="1"/>
    <col min="6919" max="6919" width="13.21875" customWidth="1"/>
    <col min="6920" max="6920" width="2.77734375" customWidth="1"/>
    <col min="6921" max="6921" width="18.77734375" customWidth="1"/>
    <col min="7169" max="7169" width="1.88671875" customWidth="1"/>
    <col min="7170" max="7170" width="13" customWidth="1"/>
    <col min="7171" max="7171" width="14" customWidth="1"/>
    <col min="7172" max="7172" width="9.21875" customWidth="1"/>
    <col min="7173" max="7173" width="9.109375" customWidth="1"/>
    <col min="7174" max="7174" width="1.88671875" bestFit="1" customWidth="1"/>
    <col min="7175" max="7175" width="13.21875" customWidth="1"/>
    <col min="7176" max="7176" width="2.77734375" customWidth="1"/>
    <col min="7177" max="7177" width="18.77734375" customWidth="1"/>
    <col min="7425" max="7425" width="1.88671875" customWidth="1"/>
    <col min="7426" max="7426" width="13" customWidth="1"/>
    <col min="7427" max="7427" width="14" customWidth="1"/>
    <col min="7428" max="7428" width="9.21875" customWidth="1"/>
    <col min="7429" max="7429" width="9.109375" customWidth="1"/>
    <col min="7430" max="7430" width="1.88671875" bestFit="1" customWidth="1"/>
    <col min="7431" max="7431" width="13.21875" customWidth="1"/>
    <col min="7432" max="7432" width="2.77734375" customWidth="1"/>
    <col min="7433" max="7433" width="18.77734375" customWidth="1"/>
    <col min="7681" max="7681" width="1.88671875" customWidth="1"/>
    <col min="7682" max="7682" width="13" customWidth="1"/>
    <col min="7683" max="7683" width="14" customWidth="1"/>
    <col min="7684" max="7684" width="9.21875" customWidth="1"/>
    <col min="7685" max="7685" width="9.109375" customWidth="1"/>
    <col min="7686" max="7686" width="1.88671875" bestFit="1" customWidth="1"/>
    <col min="7687" max="7687" width="13.21875" customWidth="1"/>
    <col min="7688" max="7688" width="2.77734375" customWidth="1"/>
    <col min="7689" max="7689" width="18.77734375" customWidth="1"/>
    <col min="7937" max="7937" width="1.88671875" customWidth="1"/>
    <col min="7938" max="7938" width="13" customWidth="1"/>
    <col min="7939" max="7939" width="14" customWidth="1"/>
    <col min="7940" max="7940" width="9.21875" customWidth="1"/>
    <col min="7941" max="7941" width="9.109375" customWidth="1"/>
    <col min="7942" max="7942" width="1.88671875" bestFit="1" customWidth="1"/>
    <col min="7943" max="7943" width="13.21875" customWidth="1"/>
    <col min="7944" max="7944" width="2.77734375" customWidth="1"/>
    <col min="7945" max="7945" width="18.77734375" customWidth="1"/>
    <col min="8193" max="8193" width="1.88671875" customWidth="1"/>
    <col min="8194" max="8194" width="13" customWidth="1"/>
    <col min="8195" max="8195" width="14" customWidth="1"/>
    <col min="8196" max="8196" width="9.21875" customWidth="1"/>
    <col min="8197" max="8197" width="9.109375" customWidth="1"/>
    <col min="8198" max="8198" width="1.88671875" bestFit="1" customWidth="1"/>
    <col min="8199" max="8199" width="13.21875" customWidth="1"/>
    <col min="8200" max="8200" width="2.77734375" customWidth="1"/>
    <col min="8201" max="8201" width="18.77734375" customWidth="1"/>
    <col min="8449" max="8449" width="1.88671875" customWidth="1"/>
    <col min="8450" max="8450" width="13" customWidth="1"/>
    <col min="8451" max="8451" width="14" customWidth="1"/>
    <col min="8452" max="8452" width="9.21875" customWidth="1"/>
    <col min="8453" max="8453" width="9.109375" customWidth="1"/>
    <col min="8454" max="8454" width="1.88671875" bestFit="1" customWidth="1"/>
    <col min="8455" max="8455" width="13.21875" customWidth="1"/>
    <col min="8456" max="8456" width="2.77734375" customWidth="1"/>
    <col min="8457" max="8457" width="18.77734375" customWidth="1"/>
    <col min="8705" max="8705" width="1.88671875" customWidth="1"/>
    <col min="8706" max="8706" width="13" customWidth="1"/>
    <col min="8707" max="8707" width="14" customWidth="1"/>
    <col min="8708" max="8708" width="9.21875" customWidth="1"/>
    <col min="8709" max="8709" width="9.109375" customWidth="1"/>
    <col min="8710" max="8710" width="1.88671875" bestFit="1" customWidth="1"/>
    <col min="8711" max="8711" width="13.21875" customWidth="1"/>
    <col min="8712" max="8712" width="2.77734375" customWidth="1"/>
    <col min="8713" max="8713" width="18.77734375" customWidth="1"/>
    <col min="8961" max="8961" width="1.88671875" customWidth="1"/>
    <col min="8962" max="8962" width="13" customWidth="1"/>
    <col min="8963" max="8963" width="14" customWidth="1"/>
    <col min="8964" max="8964" width="9.21875" customWidth="1"/>
    <col min="8965" max="8965" width="9.109375" customWidth="1"/>
    <col min="8966" max="8966" width="1.88671875" bestFit="1" customWidth="1"/>
    <col min="8967" max="8967" width="13.21875" customWidth="1"/>
    <col min="8968" max="8968" width="2.77734375" customWidth="1"/>
    <col min="8969" max="8969" width="18.77734375" customWidth="1"/>
    <col min="9217" max="9217" width="1.88671875" customWidth="1"/>
    <col min="9218" max="9218" width="13" customWidth="1"/>
    <col min="9219" max="9219" width="14" customWidth="1"/>
    <col min="9220" max="9220" width="9.21875" customWidth="1"/>
    <col min="9221" max="9221" width="9.109375" customWidth="1"/>
    <col min="9222" max="9222" width="1.88671875" bestFit="1" customWidth="1"/>
    <col min="9223" max="9223" width="13.21875" customWidth="1"/>
    <col min="9224" max="9224" width="2.77734375" customWidth="1"/>
    <col min="9225" max="9225" width="18.77734375" customWidth="1"/>
    <col min="9473" max="9473" width="1.88671875" customWidth="1"/>
    <col min="9474" max="9474" width="13" customWidth="1"/>
    <col min="9475" max="9475" width="14" customWidth="1"/>
    <col min="9476" max="9476" width="9.21875" customWidth="1"/>
    <col min="9477" max="9477" width="9.109375" customWidth="1"/>
    <col min="9478" max="9478" width="1.88671875" bestFit="1" customWidth="1"/>
    <col min="9479" max="9479" width="13.21875" customWidth="1"/>
    <col min="9480" max="9480" width="2.77734375" customWidth="1"/>
    <col min="9481" max="9481" width="18.77734375" customWidth="1"/>
    <col min="9729" max="9729" width="1.88671875" customWidth="1"/>
    <col min="9730" max="9730" width="13" customWidth="1"/>
    <col min="9731" max="9731" width="14" customWidth="1"/>
    <col min="9732" max="9732" width="9.21875" customWidth="1"/>
    <col min="9733" max="9733" width="9.109375" customWidth="1"/>
    <col min="9734" max="9734" width="1.88671875" bestFit="1" customWidth="1"/>
    <col min="9735" max="9735" width="13.21875" customWidth="1"/>
    <col min="9736" max="9736" width="2.77734375" customWidth="1"/>
    <col min="9737" max="9737" width="18.77734375" customWidth="1"/>
    <col min="9985" max="9985" width="1.88671875" customWidth="1"/>
    <col min="9986" max="9986" width="13" customWidth="1"/>
    <col min="9987" max="9987" width="14" customWidth="1"/>
    <col min="9988" max="9988" width="9.21875" customWidth="1"/>
    <col min="9989" max="9989" width="9.109375" customWidth="1"/>
    <col min="9990" max="9990" width="1.88671875" bestFit="1" customWidth="1"/>
    <col min="9991" max="9991" width="13.21875" customWidth="1"/>
    <col min="9992" max="9992" width="2.77734375" customWidth="1"/>
    <col min="9993" max="9993" width="18.77734375" customWidth="1"/>
    <col min="10241" max="10241" width="1.88671875" customWidth="1"/>
    <col min="10242" max="10242" width="13" customWidth="1"/>
    <col min="10243" max="10243" width="14" customWidth="1"/>
    <col min="10244" max="10244" width="9.21875" customWidth="1"/>
    <col min="10245" max="10245" width="9.109375" customWidth="1"/>
    <col min="10246" max="10246" width="1.88671875" bestFit="1" customWidth="1"/>
    <col min="10247" max="10247" width="13.21875" customWidth="1"/>
    <col min="10248" max="10248" width="2.77734375" customWidth="1"/>
    <col min="10249" max="10249" width="18.77734375" customWidth="1"/>
    <col min="10497" max="10497" width="1.88671875" customWidth="1"/>
    <col min="10498" max="10498" width="13" customWidth="1"/>
    <col min="10499" max="10499" width="14" customWidth="1"/>
    <col min="10500" max="10500" width="9.21875" customWidth="1"/>
    <col min="10501" max="10501" width="9.109375" customWidth="1"/>
    <col min="10502" max="10502" width="1.88671875" bestFit="1" customWidth="1"/>
    <col min="10503" max="10503" width="13.21875" customWidth="1"/>
    <col min="10504" max="10504" width="2.77734375" customWidth="1"/>
    <col min="10505" max="10505" width="18.77734375" customWidth="1"/>
    <col min="10753" max="10753" width="1.88671875" customWidth="1"/>
    <col min="10754" max="10754" width="13" customWidth="1"/>
    <col min="10755" max="10755" width="14" customWidth="1"/>
    <col min="10756" max="10756" width="9.21875" customWidth="1"/>
    <col min="10757" max="10757" width="9.109375" customWidth="1"/>
    <col min="10758" max="10758" width="1.88671875" bestFit="1" customWidth="1"/>
    <col min="10759" max="10759" width="13.21875" customWidth="1"/>
    <col min="10760" max="10760" width="2.77734375" customWidth="1"/>
    <col min="10761" max="10761" width="18.77734375" customWidth="1"/>
    <col min="11009" max="11009" width="1.88671875" customWidth="1"/>
    <col min="11010" max="11010" width="13" customWidth="1"/>
    <col min="11011" max="11011" width="14" customWidth="1"/>
    <col min="11012" max="11012" width="9.21875" customWidth="1"/>
    <col min="11013" max="11013" width="9.109375" customWidth="1"/>
    <col min="11014" max="11014" width="1.88671875" bestFit="1" customWidth="1"/>
    <col min="11015" max="11015" width="13.21875" customWidth="1"/>
    <col min="11016" max="11016" width="2.77734375" customWidth="1"/>
    <col min="11017" max="11017" width="18.77734375" customWidth="1"/>
    <col min="11265" max="11265" width="1.88671875" customWidth="1"/>
    <col min="11266" max="11266" width="13" customWidth="1"/>
    <col min="11267" max="11267" width="14" customWidth="1"/>
    <col min="11268" max="11268" width="9.21875" customWidth="1"/>
    <col min="11269" max="11269" width="9.109375" customWidth="1"/>
    <col min="11270" max="11270" width="1.88671875" bestFit="1" customWidth="1"/>
    <col min="11271" max="11271" width="13.21875" customWidth="1"/>
    <col min="11272" max="11272" width="2.77734375" customWidth="1"/>
    <col min="11273" max="11273" width="18.77734375" customWidth="1"/>
    <col min="11521" max="11521" width="1.88671875" customWidth="1"/>
    <col min="11522" max="11522" width="13" customWidth="1"/>
    <col min="11523" max="11523" width="14" customWidth="1"/>
    <col min="11524" max="11524" width="9.21875" customWidth="1"/>
    <col min="11525" max="11525" width="9.109375" customWidth="1"/>
    <col min="11526" max="11526" width="1.88671875" bestFit="1" customWidth="1"/>
    <col min="11527" max="11527" width="13.21875" customWidth="1"/>
    <col min="11528" max="11528" width="2.77734375" customWidth="1"/>
    <col min="11529" max="11529" width="18.77734375" customWidth="1"/>
    <col min="11777" max="11777" width="1.88671875" customWidth="1"/>
    <col min="11778" max="11778" width="13" customWidth="1"/>
    <col min="11779" max="11779" width="14" customWidth="1"/>
    <col min="11780" max="11780" width="9.21875" customWidth="1"/>
    <col min="11781" max="11781" width="9.109375" customWidth="1"/>
    <col min="11782" max="11782" width="1.88671875" bestFit="1" customWidth="1"/>
    <col min="11783" max="11783" width="13.21875" customWidth="1"/>
    <col min="11784" max="11784" width="2.77734375" customWidth="1"/>
    <col min="11785" max="11785" width="18.77734375" customWidth="1"/>
    <col min="12033" max="12033" width="1.88671875" customWidth="1"/>
    <col min="12034" max="12034" width="13" customWidth="1"/>
    <col min="12035" max="12035" width="14" customWidth="1"/>
    <col min="12036" max="12036" width="9.21875" customWidth="1"/>
    <col min="12037" max="12037" width="9.109375" customWidth="1"/>
    <col min="12038" max="12038" width="1.88671875" bestFit="1" customWidth="1"/>
    <col min="12039" max="12039" width="13.21875" customWidth="1"/>
    <col min="12040" max="12040" width="2.77734375" customWidth="1"/>
    <col min="12041" max="12041" width="18.77734375" customWidth="1"/>
    <col min="12289" max="12289" width="1.88671875" customWidth="1"/>
    <col min="12290" max="12290" width="13" customWidth="1"/>
    <col min="12291" max="12291" width="14" customWidth="1"/>
    <col min="12292" max="12292" width="9.21875" customWidth="1"/>
    <col min="12293" max="12293" width="9.109375" customWidth="1"/>
    <col min="12294" max="12294" width="1.88671875" bestFit="1" customWidth="1"/>
    <col min="12295" max="12295" width="13.21875" customWidth="1"/>
    <col min="12296" max="12296" width="2.77734375" customWidth="1"/>
    <col min="12297" max="12297" width="18.77734375" customWidth="1"/>
    <col min="12545" max="12545" width="1.88671875" customWidth="1"/>
    <col min="12546" max="12546" width="13" customWidth="1"/>
    <col min="12547" max="12547" width="14" customWidth="1"/>
    <col min="12548" max="12548" width="9.21875" customWidth="1"/>
    <col min="12549" max="12549" width="9.109375" customWidth="1"/>
    <col min="12550" max="12550" width="1.88671875" bestFit="1" customWidth="1"/>
    <col min="12551" max="12551" width="13.21875" customWidth="1"/>
    <col min="12552" max="12552" width="2.77734375" customWidth="1"/>
    <col min="12553" max="12553" width="18.77734375" customWidth="1"/>
    <col min="12801" max="12801" width="1.88671875" customWidth="1"/>
    <col min="12802" max="12802" width="13" customWidth="1"/>
    <col min="12803" max="12803" width="14" customWidth="1"/>
    <col min="12804" max="12804" width="9.21875" customWidth="1"/>
    <col min="12805" max="12805" width="9.109375" customWidth="1"/>
    <col min="12806" max="12806" width="1.88671875" bestFit="1" customWidth="1"/>
    <col min="12807" max="12807" width="13.21875" customWidth="1"/>
    <col min="12808" max="12808" width="2.77734375" customWidth="1"/>
    <col min="12809" max="12809" width="18.77734375" customWidth="1"/>
    <col min="13057" max="13057" width="1.88671875" customWidth="1"/>
    <col min="13058" max="13058" width="13" customWidth="1"/>
    <col min="13059" max="13059" width="14" customWidth="1"/>
    <col min="13060" max="13060" width="9.21875" customWidth="1"/>
    <col min="13061" max="13061" width="9.109375" customWidth="1"/>
    <col min="13062" max="13062" width="1.88671875" bestFit="1" customWidth="1"/>
    <col min="13063" max="13063" width="13.21875" customWidth="1"/>
    <col min="13064" max="13064" width="2.77734375" customWidth="1"/>
    <col min="13065" max="13065" width="18.77734375" customWidth="1"/>
    <col min="13313" max="13313" width="1.88671875" customWidth="1"/>
    <col min="13314" max="13314" width="13" customWidth="1"/>
    <col min="13315" max="13315" width="14" customWidth="1"/>
    <col min="13316" max="13316" width="9.21875" customWidth="1"/>
    <col min="13317" max="13317" width="9.109375" customWidth="1"/>
    <col min="13318" max="13318" width="1.88671875" bestFit="1" customWidth="1"/>
    <col min="13319" max="13319" width="13.21875" customWidth="1"/>
    <col min="13320" max="13320" width="2.77734375" customWidth="1"/>
    <col min="13321" max="13321" width="18.77734375" customWidth="1"/>
    <col min="13569" max="13569" width="1.88671875" customWidth="1"/>
    <col min="13570" max="13570" width="13" customWidth="1"/>
    <col min="13571" max="13571" width="14" customWidth="1"/>
    <col min="13572" max="13572" width="9.21875" customWidth="1"/>
    <col min="13573" max="13573" width="9.109375" customWidth="1"/>
    <col min="13574" max="13574" width="1.88671875" bestFit="1" customWidth="1"/>
    <col min="13575" max="13575" width="13.21875" customWidth="1"/>
    <col min="13576" max="13576" width="2.77734375" customWidth="1"/>
    <col min="13577" max="13577" width="18.77734375" customWidth="1"/>
    <col min="13825" max="13825" width="1.88671875" customWidth="1"/>
    <col min="13826" max="13826" width="13" customWidth="1"/>
    <col min="13827" max="13827" width="14" customWidth="1"/>
    <col min="13828" max="13828" width="9.21875" customWidth="1"/>
    <col min="13829" max="13829" width="9.109375" customWidth="1"/>
    <col min="13830" max="13830" width="1.88671875" bestFit="1" customWidth="1"/>
    <col min="13831" max="13831" width="13.21875" customWidth="1"/>
    <col min="13832" max="13832" width="2.77734375" customWidth="1"/>
    <col min="13833" max="13833" width="18.77734375" customWidth="1"/>
    <col min="14081" max="14081" width="1.88671875" customWidth="1"/>
    <col min="14082" max="14082" width="13" customWidth="1"/>
    <col min="14083" max="14083" width="14" customWidth="1"/>
    <col min="14084" max="14084" width="9.21875" customWidth="1"/>
    <col min="14085" max="14085" width="9.109375" customWidth="1"/>
    <col min="14086" max="14086" width="1.88671875" bestFit="1" customWidth="1"/>
    <col min="14087" max="14087" width="13.21875" customWidth="1"/>
    <col min="14088" max="14088" width="2.77734375" customWidth="1"/>
    <col min="14089" max="14089" width="18.77734375" customWidth="1"/>
    <col min="14337" max="14337" width="1.88671875" customWidth="1"/>
    <col min="14338" max="14338" width="13" customWidth="1"/>
    <col min="14339" max="14339" width="14" customWidth="1"/>
    <col min="14340" max="14340" width="9.21875" customWidth="1"/>
    <col min="14341" max="14341" width="9.109375" customWidth="1"/>
    <col min="14342" max="14342" width="1.88671875" bestFit="1" customWidth="1"/>
    <col min="14343" max="14343" width="13.21875" customWidth="1"/>
    <col min="14344" max="14344" width="2.77734375" customWidth="1"/>
    <col min="14345" max="14345" width="18.77734375" customWidth="1"/>
    <col min="14593" max="14593" width="1.88671875" customWidth="1"/>
    <col min="14594" max="14594" width="13" customWidth="1"/>
    <col min="14595" max="14595" width="14" customWidth="1"/>
    <col min="14596" max="14596" width="9.21875" customWidth="1"/>
    <col min="14597" max="14597" width="9.109375" customWidth="1"/>
    <col min="14598" max="14598" width="1.88671875" bestFit="1" customWidth="1"/>
    <col min="14599" max="14599" width="13.21875" customWidth="1"/>
    <col min="14600" max="14600" width="2.77734375" customWidth="1"/>
    <col min="14601" max="14601" width="18.77734375" customWidth="1"/>
    <col min="14849" max="14849" width="1.88671875" customWidth="1"/>
    <col min="14850" max="14850" width="13" customWidth="1"/>
    <col min="14851" max="14851" width="14" customWidth="1"/>
    <col min="14852" max="14852" width="9.21875" customWidth="1"/>
    <col min="14853" max="14853" width="9.109375" customWidth="1"/>
    <col min="14854" max="14854" width="1.88671875" bestFit="1" customWidth="1"/>
    <col min="14855" max="14855" width="13.21875" customWidth="1"/>
    <col min="14856" max="14856" width="2.77734375" customWidth="1"/>
    <col min="14857" max="14857" width="18.77734375" customWidth="1"/>
    <col min="15105" max="15105" width="1.88671875" customWidth="1"/>
    <col min="15106" max="15106" width="13" customWidth="1"/>
    <col min="15107" max="15107" width="14" customWidth="1"/>
    <col min="15108" max="15108" width="9.21875" customWidth="1"/>
    <col min="15109" max="15109" width="9.109375" customWidth="1"/>
    <col min="15110" max="15110" width="1.88671875" bestFit="1" customWidth="1"/>
    <col min="15111" max="15111" width="13.21875" customWidth="1"/>
    <col min="15112" max="15112" width="2.77734375" customWidth="1"/>
    <col min="15113" max="15113" width="18.77734375" customWidth="1"/>
    <col min="15361" max="15361" width="1.88671875" customWidth="1"/>
    <col min="15362" max="15362" width="13" customWidth="1"/>
    <col min="15363" max="15363" width="14" customWidth="1"/>
    <col min="15364" max="15364" width="9.21875" customWidth="1"/>
    <col min="15365" max="15365" width="9.109375" customWidth="1"/>
    <col min="15366" max="15366" width="1.88671875" bestFit="1" customWidth="1"/>
    <col min="15367" max="15367" width="13.21875" customWidth="1"/>
    <col min="15368" max="15368" width="2.77734375" customWidth="1"/>
    <col min="15369" max="15369" width="18.77734375" customWidth="1"/>
    <col min="15617" max="15617" width="1.88671875" customWidth="1"/>
    <col min="15618" max="15618" width="13" customWidth="1"/>
    <col min="15619" max="15619" width="14" customWidth="1"/>
    <col min="15620" max="15620" width="9.21875" customWidth="1"/>
    <col min="15621" max="15621" width="9.109375" customWidth="1"/>
    <col min="15622" max="15622" width="1.88671875" bestFit="1" customWidth="1"/>
    <col min="15623" max="15623" width="13.21875" customWidth="1"/>
    <col min="15624" max="15624" width="2.77734375" customWidth="1"/>
    <col min="15625" max="15625" width="18.77734375" customWidth="1"/>
    <col min="15873" max="15873" width="1.88671875" customWidth="1"/>
    <col min="15874" max="15874" width="13" customWidth="1"/>
    <col min="15875" max="15875" width="14" customWidth="1"/>
    <col min="15876" max="15876" width="9.21875" customWidth="1"/>
    <col min="15877" max="15877" width="9.109375" customWidth="1"/>
    <col min="15878" max="15878" width="1.88671875" bestFit="1" customWidth="1"/>
    <col min="15879" max="15879" width="13.21875" customWidth="1"/>
    <col min="15880" max="15880" width="2.77734375" customWidth="1"/>
    <col min="15881" max="15881" width="18.77734375" customWidth="1"/>
    <col min="16129" max="16129" width="1.88671875" customWidth="1"/>
    <col min="16130" max="16130" width="13" customWidth="1"/>
    <col min="16131" max="16131" width="14" customWidth="1"/>
    <col min="16132" max="16132" width="9.21875" customWidth="1"/>
    <col min="16133" max="16133" width="9.109375" customWidth="1"/>
    <col min="16134" max="16134" width="1.88671875" bestFit="1" customWidth="1"/>
    <col min="16135" max="16135" width="13.21875" customWidth="1"/>
    <col min="16136" max="16136" width="2.77734375" customWidth="1"/>
    <col min="16137" max="16137" width="18.77734375" customWidth="1"/>
  </cols>
  <sheetData>
    <row r="1" spans="1:23" ht="16.5">
      <c r="A1" s="17"/>
      <c r="B1" s="17"/>
      <c r="C1" s="17"/>
      <c r="D1" s="17"/>
      <c r="E1" s="17"/>
      <c r="F1" s="17"/>
      <c r="G1" s="17"/>
      <c r="H1" s="17"/>
      <c r="I1" s="17"/>
    </row>
    <row r="2" spans="1:23" ht="16.5">
      <c r="A2" s="17"/>
      <c r="B2" s="17"/>
      <c r="C2" s="17"/>
      <c r="D2" s="17"/>
      <c r="E2" s="17"/>
      <c r="F2" s="17"/>
      <c r="G2" s="17"/>
      <c r="H2" s="17"/>
      <c r="I2" s="17"/>
    </row>
    <row r="3" spans="1:23" s="19" customFormat="1" ht="73.5" customHeight="1">
      <c r="A3" s="18"/>
      <c r="B3" s="176" t="s">
        <v>24</v>
      </c>
      <c r="C3" s="177"/>
      <c r="D3" s="177"/>
      <c r="E3" s="177"/>
      <c r="F3" s="177"/>
      <c r="G3" s="177"/>
      <c r="H3" s="177"/>
      <c r="I3" s="178"/>
    </row>
    <row r="4" spans="1:23" s="19" customFormat="1" ht="39.75" customHeight="1">
      <c r="A4" s="18"/>
      <c r="B4" s="20" t="s">
        <v>25</v>
      </c>
      <c r="C4" s="179" t="str">
        <f>승락서!B3</f>
        <v>수소에너지소재연구단(0184호) 청정수소 분리판 기술 개발실 구축(설비)</v>
      </c>
      <c r="D4" s="180"/>
      <c r="E4" s="180"/>
      <c r="F4" s="180"/>
      <c r="G4" s="180"/>
      <c r="H4" s="180"/>
      <c r="I4" s="181"/>
      <c r="K4" s="182" t="s">
        <v>26</v>
      </c>
      <c r="L4" s="182"/>
      <c r="M4" s="182"/>
      <c r="N4" s="182"/>
      <c r="O4" s="182"/>
      <c r="P4" s="182"/>
      <c r="Q4" s="182"/>
      <c r="R4" s="182"/>
      <c r="S4" s="182"/>
      <c r="T4" s="182"/>
      <c r="U4" s="182"/>
      <c r="V4" s="182"/>
      <c r="W4" s="182"/>
    </row>
    <row r="5" spans="1:23" s="19" customFormat="1" ht="39.75" customHeight="1">
      <c r="A5" s="18"/>
      <c r="B5" s="20" t="s">
        <v>27</v>
      </c>
      <c r="C5" s="21" t="str">
        <f>승락서!A23</f>
        <v>2025년09월26일</v>
      </c>
      <c r="D5" s="21"/>
      <c r="E5" s="22"/>
      <c r="F5" s="22"/>
      <c r="G5" s="22"/>
      <c r="H5" s="22"/>
      <c r="I5" s="23"/>
      <c r="K5" s="19" t="s">
        <v>28</v>
      </c>
    </row>
    <row r="6" spans="1:23" s="19" customFormat="1" ht="39.75" customHeight="1">
      <c r="A6" s="18"/>
      <c r="B6" s="20" t="s">
        <v>29</v>
      </c>
      <c r="C6" s="22" t="str">
        <f>승락서!B5</f>
        <v>일금이백칠십구만원정</v>
      </c>
      <c r="D6" s="22"/>
      <c r="E6" s="22"/>
      <c r="F6" s="24" t="s">
        <v>30</v>
      </c>
      <c r="G6" s="25">
        <f>승락서!C6</f>
        <v>2790000</v>
      </c>
      <c r="H6" s="26" t="s">
        <v>31</v>
      </c>
      <c r="I6" s="27" t="s">
        <v>32</v>
      </c>
      <c r="K6" s="28" t="s">
        <v>33</v>
      </c>
      <c r="L6" s="28"/>
      <c r="M6" s="28"/>
      <c r="N6" s="28"/>
      <c r="O6" s="28"/>
      <c r="P6" s="28"/>
      <c r="Q6" s="29"/>
    </row>
    <row r="7" spans="1:23" s="19" customFormat="1" ht="39.75" customHeight="1">
      <c r="A7" s="18"/>
      <c r="B7" s="20" t="s">
        <v>34</v>
      </c>
      <c r="C7" s="22" t="str">
        <f>'[1]승락서(7.5%)'!B7</f>
        <v>일금이십만구천이백오십원정</v>
      </c>
      <c r="D7" s="22"/>
      <c r="E7" s="22"/>
      <c r="F7" s="24" t="s">
        <v>30</v>
      </c>
      <c r="G7" s="30">
        <f>'[1]승락서(7.5%)'!C8</f>
        <v>209250</v>
      </c>
      <c r="H7" s="22" t="s">
        <v>31</v>
      </c>
      <c r="I7" s="23" t="s">
        <v>35</v>
      </c>
      <c r="K7" s="19" t="s">
        <v>36</v>
      </c>
    </row>
    <row r="8" spans="1:23" s="19" customFormat="1" ht="22.5" customHeight="1">
      <c r="A8" s="18"/>
      <c r="B8" s="31"/>
      <c r="C8" s="32"/>
      <c r="D8" s="32"/>
      <c r="E8" s="32"/>
      <c r="F8" s="32"/>
      <c r="G8" s="32"/>
      <c r="H8" s="32"/>
      <c r="I8" s="33"/>
      <c r="K8" s="19" t="s">
        <v>37</v>
      </c>
    </row>
    <row r="9" spans="1:23" s="19" customFormat="1" ht="17.25">
      <c r="A9" s="18"/>
      <c r="B9" s="34"/>
      <c r="C9" s="35"/>
      <c r="D9" s="35"/>
      <c r="E9" s="35"/>
      <c r="F9" s="35"/>
      <c r="G9" s="35"/>
      <c r="H9" s="35"/>
      <c r="I9" s="36"/>
    </row>
    <row r="10" spans="1:23" s="19" customFormat="1" ht="17.25">
      <c r="A10" s="18"/>
      <c r="B10" s="34"/>
      <c r="C10" s="35" t="s">
        <v>38</v>
      </c>
      <c r="D10" s="35"/>
      <c r="E10" s="35"/>
      <c r="F10" s="35"/>
      <c r="G10" s="35"/>
      <c r="H10" s="35"/>
      <c r="I10" s="36"/>
    </row>
    <row r="11" spans="1:23" s="19" customFormat="1" ht="8.25" customHeight="1">
      <c r="A11" s="18"/>
      <c r="B11" s="34"/>
      <c r="C11" s="35"/>
      <c r="D11" s="35"/>
      <c r="E11" s="35"/>
      <c r="F11" s="35"/>
      <c r="G11" s="35"/>
      <c r="H11" s="35"/>
      <c r="I11" s="36"/>
    </row>
    <row r="12" spans="1:23" s="19" customFormat="1" ht="9.75" customHeight="1">
      <c r="A12" s="18"/>
      <c r="B12" s="34"/>
      <c r="C12" s="35"/>
      <c r="D12" s="35"/>
      <c r="E12" s="35"/>
      <c r="F12" s="35"/>
      <c r="G12" s="35"/>
      <c r="H12" s="35"/>
      <c r="I12" s="36"/>
    </row>
    <row r="13" spans="1:23" s="19" customFormat="1" ht="21" customHeight="1">
      <c r="A13" s="18"/>
      <c r="B13" s="34" t="s">
        <v>39</v>
      </c>
      <c r="C13" s="35"/>
      <c r="D13" s="35"/>
      <c r="E13" s="35"/>
      <c r="F13" s="35"/>
      <c r="G13" s="35"/>
      <c r="H13" s="35"/>
      <c r="I13" s="36"/>
    </row>
    <row r="14" spans="1:23" s="19" customFormat="1" ht="21" customHeight="1">
      <c r="A14" s="18"/>
      <c r="B14" s="34" t="s">
        <v>40</v>
      </c>
      <c r="C14" s="35"/>
      <c r="D14" s="35"/>
      <c r="E14" s="35"/>
      <c r="F14" s="35"/>
      <c r="G14" s="35"/>
      <c r="H14" s="35"/>
      <c r="I14" s="36"/>
    </row>
    <row r="15" spans="1:23" s="19" customFormat="1" ht="24" customHeight="1">
      <c r="A15" s="18"/>
      <c r="B15" s="34"/>
      <c r="C15" s="35"/>
      <c r="D15" s="35"/>
      <c r="E15" s="35"/>
      <c r="F15" s="35"/>
      <c r="G15" s="35"/>
      <c r="H15" s="35"/>
      <c r="I15" s="36"/>
    </row>
    <row r="16" spans="1:23" s="19" customFormat="1" ht="9.75" customHeight="1">
      <c r="A16" s="18"/>
      <c r="B16" s="34"/>
      <c r="C16" s="35"/>
      <c r="D16" s="35"/>
      <c r="E16" s="35"/>
      <c r="F16" s="35"/>
      <c r="G16" s="35"/>
      <c r="H16" s="35"/>
      <c r="I16" s="36"/>
    </row>
    <row r="17" spans="1:9" s="19" customFormat="1" ht="6.75" customHeight="1">
      <c r="A17" s="18"/>
      <c r="B17" s="34"/>
      <c r="C17" s="35"/>
      <c r="D17" s="35"/>
      <c r="E17" s="35"/>
      <c r="F17" s="35"/>
      <c r="G17" s="35"/>
      <c r="H17" s="35"/>
      <c r="I17" s="36"/>
    </row>
    <row r="18" spans="1:9" s="19" customFormat="1" ht="9.75" customHeight="1">
      <c r="A18" s="18"/>
      <c r="B18" s="34"/>
      <c r="C18" s="35"/>
      <c r="D18" s="35"/>
      <c r="E18" s="35"/>
      <c r="F18" s="35"/>
      <c r="G18" s="35"/>
      <c r="H18" s="35"/>
      <c r="I18" s="36"/>
    </row>
    <row r="19" spans="1:9" s="19" customFormat="1" ht="6.75" customHeight="1">
      <c r="A19" s="18"/>
      <c r="B19" s="34"/>
      <c r="C19" s="35"/>
      <c r="D19" s="35"/>
      <c r="E19" s="35"/>
      <c r="F19" s="35"/>
      <c r="G19" s="35"/>
      <c r="H19" s="35"/>
      <c r="I19" s="36"/>
    </row>
    <row r="20" spans="1:9" s="38" customFormat="1" ht="17.25">
      <c r="A20" s="37"/>
      <c r="B20" s="183" t="str">
        <f>승락서!A23</f>
        <v>2025년09월26일</v>
      </c>
      <c r="C20" s="184"/>
      <c r="D20" s="184"/>
      <c r="E20" s="184"/>
      <c r="F20" s="184"/>
      <c r="G20" s="184"/>
      <c r="H20" s="184"/>
      <c r="I20" s="185"/>
    </row>
    <row r="21" spans="1:9" s="19" customFormat="1" ht="6.75" customHeight="1">
      <c r="A21" s="18"/>
      <c r="B21" s="34"/>
      <c r="C21" s="35"/>
      <c r="D21" s="35"/>
      <c r="E21" s="35"/>
      <c r="F21" s="35"/>
      <c r="G21" s="35"/>
      <c r="H21" s="35"/>
      <c r="I21" s="36"/>
    </row>
    <row r="22" spans="1:9" s="19" customFormat="1" ht="12" customHeight="1">
      <c r="A22" s="18"/>
      <c r="B22" s="34"/>
      <c r="C22" s="35"/>
      <c r="D22" s="35"/>
      <c r="E22" s="35"/>
      <c r="F22" s="35"/>
      <c r="G22" s="35"/>
      <c r="H22" s="35"/>
      <c r="I22" s="36"/>
    </row>
    <row r="23" spans="1:9" s="19" customFormat="1" ht="5.25" customHeight="1">
      <c r="A23" s="18"/>
      <c r="B23" s="34"/>
      <c r="C23" s="35"/>
      <c r="D23" s="35"/>
      <c r="E23" s="35"/>
      <c r="F23" s="35"/>
      <c r="G23" s="35"/>
      <c r="H23" s="35"/>
      <c r="I23" s="36"/>
    </row>
    <row r="24" spans="1:9" s="19" customFormat="1" ht="8.25" customHeight="1">
      <c r="A24" s="18"/>
      <c r="B24" s="34"/>
      <c r="C24" s="35"/>
      <c r="D24" s="35"/>
      <c r="E24" s="35"/>
      <c r="F24" s="35"/>
      <c r="G24" s="35"/>
      <c r="H24" s="35"/>
      <c r="I24" s="36"/>
    </row>
    <row r="25" spans="1:9" s="19" customFormat="1" ht="17.25">
      <c r="A25" s="18"/>
      <c r="B25" s="34"/>
      <c r="C25" s="35"/>
      <c r="D25" s="35"/>
      <c r="E25" s="35"/>
      <c r="F25" s="35"/>
      <c r="G25" s="35"/>
      <c r="H25" s="35"/>
      <c r="I25" s="36"/>
    </row>
    <row r="26" spans="1:9" s="41" customFormat="1" ht="20.25" customHeight="1">
      <c r="A26" s="36"/>
      <c r="B26" s="39" t="s">
        <v>41</v>
      </c>
      <c r="C26" s="18" t="str">
        <f>★자료입력!Q2</f>
        <v>서울시 송파구 토성로 38-6번지</v>
      </c>
      <c r="D26" s="35"/>
      <c r="E26" s="40"/>
      <c r="F26" s="35"/>
      <c r="G26" s="35"/>
      <c r="H26" s="35"/>
      <c r="I26" s="36"/>
    </row>
    <row r="27" spans="1:9" s="19" customFormat="1" ht="10.5" customHeight="1">
      <c r="A27" s="42"/>
      <c r="B27" s="39"/>
      <c r="C27" s="35"/>
      <c r="D27" s="35"/>
      <c r="E27" s="35"/>
      <c r="F27" s="35"/>
      <c r="G27" s="35"/>
      <c r="H27" s="35"/>
      <c r="I27" s="36"/>
    </row>
    <row r="28" spans="1:9" s="19" customFormat="1" ht="20.25" customHeight="1">
      <c r="A28" s="42"/>
      <c r="B28" s="39" t="s">
        <v>42</v>
      </c>
      <c r="C28" s="35" t="str">
        <f>★자료입력!N2</f>
        <v>경은엔지니어링</v>
      </c>
      <c r="D28" s="35"/>
      <c r="E28" s="40"/>
      <c r="F28" s="35"/>
      <c r="G28" s="35"/>
      <c r="H28" s="35"/>
      <c r="I28" s="36"/>
    </row>
    <row r="29" spans="1:9" s="19" customFormat="1" ht="10.5" customHeight="1">
      <c r="A29" s="42"/>
      <c r="B29" s="39"/>
      <c r="C29" s="35"/>
      <c r="D29" s="35"/>
      <c r="E29" s="35"/>
      <c r="F29" s="35"/>
      <c r="G29" s="35"/>
      <c r="H29" s="35"/>
      <c r="I29" s="36"/>
    </row>
    <row r="30" spans="1:9" s="19" customFormat="1" ht="19.5" customHeight="1">
      <c r="A30" s="42"/>
      <c r="B30" s="39" t="s">
        <v>43</v>
      </c>
      <c r="C30" s="35" t="str">
        <f>★자료입력!P2&amp;"     (인)"</f>
        <v>김강수     (인)</v>
      </c>
      <c r="D30" s="40"/>
      <c r="F30" s="35"/>
      <c r="G30" s="35"/>
      <c r="H30" s="35"/>
      <c r="I30" s="36"/>
    </row>
    <row r="31" spans="1:9" ht="17.25">
      <c r="A31" s="17"/>
      <c r="B31" s="34"/>
      <c r="C31" s="43"/>
      <c r="D31" s="43"/>
      <c r="E31" s="43"/>
      <c r="F31" s="43"/>
      <c r="G31" s="43"/>
      <c r="H31" s="43"/>
      <c r="I31" s="44"/>
    </row>
    <row r="32" spans="1:9" ht="17.25">
      <c r="A32" s="17"/>
      <c r="B32" s="45"/>
      <c r="C32" s="43"/>
      <c r="D32" s="43"/>
      <c r="E32" s="43"/>
      <c r="F32" s="43"/>
      <c r="G32" s="43"/>
      <c r="H32" s="43"/>
      <c r="I32" s="44"/>
    </row>
    <row r="33" spans="1:9" ht="16.5">
      <c r="A33" s="17"/>
      <c r="B33" s="46"/>
      <c r="C33" s="17"/>
      <c r="D33" s="17"/>
      <c r="E33" s="17"/>
      <c r="F33" s="17"/>
      <c r="G33" s="17"/>
      <c r="H33" s="17"/>
      <c r="I33" s="47"/>
    </row>
    <row r="34" spans="1:9" ht="26.25">
      <c r="A34" s="17"/>
      <c r="B34" s="164" t="str">
        <f>승락서!A34</f>
        <v>한국과학기술연구원  원장  귀하</v>
      </c>
      <c r="C34" s="165"/>
      <c r="D34" s="165"/>
      <c r="E34" s="165"/>
      <c r="F34" s="165"/>
      <c r="G34" s="165"/>
      <c r="H34" s="165"/>
      <c r="I34" s="166"/>
    </row>
    <row r="35" spans="1:9" ht="26.25" customHeight="1">
      <c r="B35" s="48"/>
      <c r="C35" s="49"/>
      <c r="D35" s="49"/>
      <c r="E35" s="49"/>
      <c r="F35" s="49"/>
      <c r="G35" s="49"/>
      <c r="H35" s="49"/>
      <c r="I35" s="50"/>
    </row>
  </sheetData>
  <mergeCells count="5">
    <mergeCell ref="B3:I3"/>
    <mergeCell ref="C4:I4"/>
    <mergeCell ref="K4:W4"/>
    <mergeCell ref="B20:I20"/>
    <mergeCell ref="B34:I34"/>
  </mergeCells>
  <phoneticPr fontId="3" type="noConversion"/>
  <printOptions horizontalCentered="1" verticalCentered="1"/>
  <pageMargins left="0.23622047244094491" right="0.23622047244094491" top="0.74803149606299213" bottom="0.74803149606299213" header="0.31496062992125984" footer="0.31496062992125984"/>
  <pageSetup paperSize="9" orientation="portrait" r:id="rId1"/>
  <headerFooter alignWithMargins="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33E9D2-635C-460E-A92D-F1AACF337C3B}">
  <sheetPr>
    <tabColor rgb="FFFFFF00"/>
    <pageSetUpPr fitToPage="1"/>
  </sheetPr>
  <dimension ref="A2:Y33"/>
  <sheetViews>
    <sheetView tabSelected="1" topLeftCell="A4" zoomScaleNormal="100" workbookViewId="0">
      <selection activeCell="B26" sqref="B26"/>
    </sheetView>
  </sheetViews>
  <sheetFormatPr defaultRowHeight="13.5"/>
  <cols>
    <col min="1" max="1" width="17.6640625" customWidth="1"/>
    <col min="2" max="2" width="18" customWidth="1"/>
    <col min="3" max="3" width="6.33203125" customWidth="1"/>
    <col min="4" max="7" width="2.33203125" customWidth="1"/>
    <col min="8" max="8" width="1.33203125" customWidth="1"/>
    <col min="9" max="9" width="12.88671875" customWidth="1"/>
    <col min="10" max="10" width="16.88671875" customWidth="1"/>
    <col min="11" max="11" width="3" customWidth="1"/>
    <col min="12" max="12" width="8.88671875" customWidth="1"/>
    <col min="13" max="13" width="9.21875" bestFit="1" customWidth="1"/>
    <col min="257" max="257" width="17.6640625" customWidth="1"/>
    <col min="258" max="258" width="18" customWidth="1"/>
    <col min="259" max="259" width="6.33203125" customWidth="1"/>
    <col min="260" max="263" width="2.33203125" customWidth="1"/>
    <col min="264" max="264" width="1.33203125" customWidth="1"/>
    <col min="265" max="265" width="12.88671875" customWidth="1"/>
    <col min="266" max="266" width="16.88671875" customWidth="1"/>
    <col min="267" max="267" width="3" customWidth="1"/>
    <col min="269" max="269" width="9.21875" bestFit="1" customWidth="1"/>
    <col min="513" max="513" width="17.6640625" customWidth="1"/>
    <col min="514" max="514" width="18" customWidth="1"/>
    <col min="515" max="515" width="6.33203125" customWidth="1"/>
    <col min="516" max="519" width="2.33203125" customWidth="1"/>
    <col min="520" max="520" width="1.33203125" customWidth="1"/>
    <col min="521" max="521" width="12.88671875" customWidth="1"/>
    <col min="522" max="522" width="16.88671875" customWidth="1"/>
    <col min="523" max="523" width="3" customWidth="1"/>
    <col min="525" max="525" width="9.21875" bestFit="1" customWidth="1"/>
    <col min="769" max="769" width="17.6640625" customWidth="1"/>
    <col min="770" max="770" width="18" customWidth="1"/>
    <col min="771" max="771" width="6.33203125" customWidth="1"/>
    <col min="772" max="775" width="2.33203125" customWidth="1"/>
    <col min="776" max="776" width="1.33203125" customWidth="1"/>
    <col min="777" max="777" width="12.88671875" customWidth="1"/>
    <col min="778" max="778" width="16.88671875" customWidth="1"/>
    <col min="779" max="779" width="3" customWidth="1"/>
    <col min="781" max="781" width="9.21875" bestFit="1" customWidth="1"/>
    <col min="1025" max="1025" width="17.6640625" customWidth="1"/>
    <col min="1026" max="1026" width="18" customWidth="1"/>
    <col min="1027" max="1027" width="6.33203125" customWidth="1"/>
    <col min="1028" max="1031" width="2.33203125" customWidth="1"/>
    <col min="1032" max="1032" width="1.33203125" customWidth="1"/>
    <col min="1033" max="1033" width="12.88671875" customWidth="1"/>
    <col min="1034" max="1034" width="16.88671875" customWidth="1"/>
    <col min="1035" max="1035" width="3" customWidth="1"/>
    <col min="1037" max="1037" width="9.21875" bestFit="1" customWidth="1"/>
    <col min="1281" max="1281" width="17.6640625" customWidth="1"/>
    <col min="1282" max="1282" width="18" customWidth="1"/>
    <col min="1283" max="1283" width="6.33203125" customWidth="1"/>
    <col min="1284" max="1287" width="2.33203125" customWidth="1"/>
    <col min="1288" max="1288" width="1.33203125" customWidth="1"/>
    <col min="1289" max="1289" width="12.88671875" customWidth="1"/>
    <col min="1290" max="1290" width="16.88671875" customWidth="1"/>
    <col min="1291" max="1291" width="3" customWidth="1"/>
    <col min="1293" max="1293" width="9.21875" bestFit="1" customWidth="1"/>
    <col min="1537" max="1537" width="17.6640625" customWidth="1"/>
    <col min="1538" max="1538" width="18" customWidth="1"/>
    <col min="1539" max="1539" width="6.33203125" customWidth="1"/>
    <col min="1540" max="1543" width="2.33203125" customWidth="1"/>
    <col min="1544" max="1544" width="1.33203125" customWidth="1"/>
    <col min="1545" max="1545" width="12.88671875" customWidth="1"/>
    <col min="1546" max="1546" width="16.88671875" customWidth="1"/>
    <col min="1547" max="1547" width="3" customWidth="1"/>
    <col min="1549" max="1549" width="9.21875" bestFit="1" customWidth="1"/>
    <col min="1793" max="1793" width="17.6640625" customWidth="1"/>
    <col min="1794" max="1794" width="18" customWidth="1"/>
    <col min="1795" max="1795" width="6.33203125" customWidth="1"/>
    <col min="1796" max="1799" width="2.33203125" customWidth="1"/>
    <col min="1800" max="1800" width="1.33203125" customWidth="1"/>
    <col min="1801" max="1801" width="12.88671875" customWidth="1"/>
    <col min="1802" max="1802" width="16.88671875" customWidth="1"/>
    <col min="1803" max="1803" width="3" customWidth="1"/>
    <col min="1805" max="1805" width="9.21875" bestFit="1" customWidth="1"/>
    <col min="2049" max="2049" width="17.6640625" customWidth="1"/>
    <col min="2050" max="2050" width="18" customWidth="1"/>
    <col min="2051" max="2051" width="6.33203125" customWidth="1"/>
    <col min="2052" max="2055" width="2.33203125" customWidth="1"/>
    <col min="2056" max="2056" width="1.33203125" customWidth="1"/>
    <col min="2057" max="2057" width="12.88671875" customWidth="1"/>
    <col min="2058" max="2058" width="16.88671875" customWidth="1"/>
    <col min="2059" max="2059" width="3" customWidth="1"/>
    <col min="2061" max="2061" width="9.21875" bestFit="1" customWidth="1"/>
    <col min="2305" max="2305" width="17.6640625" customWidth="1"/>
    <col min="2306" max="2306" width="18" customWidth="1"/>
    <col min="2307" max="2307" width="6.33203125" customWidth="1"/>
    <col min="2308" max="2311" width="2.33203125" customWidth="1"/>
    <col min="2312" max="2312" width="1.33203125" customWidth="1"/>
    <col min="2313" max="2313" width="12.88671875" customWidth="1"/>
    <col min="2314" max="2314" width="16.88671875" customWidth="1"/>
    <col min="2315" max="2315" width="3" customWidth="1"/>
    <col min="2317" max="2317" width="9.21875" bestFit="1" customWidth="1"/>
    <col min="2561" max="2561" width="17.6640625" customWidth="1"/>
    <col min="2562" max="2562" width="18" customWidth="1"/>
    <col min="2563" max="2563" width="6.33203125" customWidth="1"/>
    <col min="2564" max="2567" width="2.33203125" customWidth="1"/>
    <col min="2568" max="2568" width="1.33203125" customWidth="1"/>
    <col min="2569" max="2569" width="12.88671875" customWidth="1"/>
    <col min="2570" max="2570" width="16.88671875" customWidth="1"/>
    <col min="2571" max="2571" width="3" customWidth="1"/>
    <col min="2573" max="2573" width="9.21875" bestFit="1" customWidth="1"/>
    <col min="2817" max="2817" width="17.6640625" customWidth="1"/>
    <col min="2818" max="2818" width="18" customWidth="1"/>
    <col min="2819" max="2819" width="6.33203125" customWidth="1"/>
    <col min="2820" max="2823" width="2.33203125" customWidth="1"/>
    <col min="2824" max="2824" width="1.33203125" customWidth="1"/>
    <col min="2825" max="2825" width="12.88671875" customWidth="1"/>
    <col min="2826" max="2826" width="16.88671875" customWidth="1"/>
    <col min="2827" max="2827" width="3" customWidth="1"/>
    <col min="2829" max="2829" width="9.21875" bestFit="1" customWidth="1"/>
    <col min="3073" max="3073" width="17.6640625" customWidth="1"/>
    <col min="3074" max="3074" width="18" customWidth="1"/>
    <col min="3075" max="3075" width="6.33203125" customWidth="1"/>
    <col min="3076" max="3079" width="2.33203125" customWidth="1"/>
    <col min="3080" max="3080" width="1.33203125" customWidth="1"/>
    <col min="3081" max="3081" width="12.88671875" customWidth="1"/>
    <col min="3082" max="3082" width="16.88671875" customWidth="1"/>
    <col min="3083" max="3083" width="3" customWidth="1"/>
    <col min="3085" max="3085" width="9.21875" bestFit="1" customWidth="1"/>
    <col min="3329" max="3329" width="17.6640625" customWidth="1"/>
    <col min="3330" max="3330" width="18" customWidth="1"/>
    <col min="3331" max="3331" width="6.33203125" customWidth="1"/>
    <col min="3332" max="3335" width="2.33203125" customWidth="1"/>
    <col min="3336" max="3336" width="1.33203125" customWidth="1"/>
    <col min="3337" max="3337" width="12.88671875" customWidth="1"/>
    <col min="3338" max="3338" width="16.88671875" customWidth="1"/>
    <col min="3339" max="3339" width="3" customWidth="1"/>
    <col min="3341" max="3341" width="9.21875" bestFit="1" customWidth="1"/>
    <col min="3585" max="3585" width="17.6640625" customWidth="1"/>
    <col min="3586" max="3586" width="18" customWidth="1"/>
    <col min="3587" max="3587" width="6.33203125" customWidth="1"/>
    <col min="3588" max="3591" width="2.33203125" customWidth="1"/>
    <col min="3592" max="3592" width="1.33203125" customWidth="1"/>
    <col min="3593" max="3593" width="12.88671875" customWidth="1"/>
    <col min="3594" max="3594" width="16.88671875" customWidth="1"/>
    <col min="3595" max="3595" width="3" customWidth="1"/>
    <col min="3597" max="3597" width="9.21875" bestFit="1" customWidth="1"/>
    <col min="3841" max="3841" width="17.6640625" customWidth="1"/>
    <col min="3842" max="3842" width="18" customWidth="1"/>
    <col min="3843" max="3843" width="6.33203125" customWidth="1"/>
    <col min="3844" max="3847" width="2.33203125" customWidth="1"/>
    <col min="3848" max="3848" width="1.33203125" customWidth="1"/>
    <col min="3849" max="3849" width="12.88671875" customWidth="1"/>
    <col min="3850" max="3850" width="16.88671875" customWidth="1"/>
    <col min="3851" max="3851" width="3" customWidth="1"/>
    <col min="3853" max="3853" width="9.21875" bestFit="1" customWidth="1"/>
    <col min="4097" max="4097" width="17.6640625" customWidth="1"/>
    <col min="4098" max="4098" width="18" customWidth="1"/>
    <col min="4099" max="4099" width="6.33203125" customWidth="1"/>
    <col min="4100" max="4103" width="2.33203125" customWidth="1"/>
    <col min="4104" max="4104" width="1.33203125" customWidth="1"/>
    <col min="4105" max="4105" width="12.88671875" customWidth="1"/>
    <col min="4106" max="4106" width="16.88671875" customWidth="1"/>
    <col min="4107" max="4107" width="3" customWidth="1"/>
    <col min="4109" max="4109" width="9.21875" bestFit="1" customWidth="1"/>
    <col min="4353" max="4353" width="17.6640625" customWidth="1"/>
    <col min="4354" max="4354" width="18" customWidth="1"/>
    <col min="4355" max="4355" width="6.33203125" customWidth="1"/>
    <col min="4356" max="4359" width="2.33203125" customWidth="1"/>
    <col min="4360" max="4360" width="1.33203125" customWidth="1"/>
    <col min="4361" max="4361" width="12.88671875" customWidth="1"/>
    <col min="4362" max="4362" width="16.88671875" customWidth="1"/>
    <col min="4363" max="4363" width="3" customWidth="1"/>
    <col min="4365" max="4365" width="9.21875" bestFit="1" customWidth="1"/>
    <col min="4609" max="4609" width="17.6640625" customWidth="1"/>
    <col min="4610" max="4610" width="18" customWidth="1"/>
    <col min="4611" max="4611" width="6.33203125" customWidth="1"/>
    <col min="4612" max="4615" width="2.33203125" customWidth="1"/>
    <col min="4616" max="4616" width="1.33203125" customWidth="1"/>
    <col min="4617" max="4617" width="12.88671875" customWidth="1"/>
    <col min="4618" max="4618" width="16.88671875" customWidth="1"/>
    <col min="4619" max="4619" width="3" customWidth="1"/>
    <col min="4621" max="4621" width="9.21875" bestFit="1" customWidth="1"/>
    <col min="4865" max="4865" width="17.6640625" customWidth="1"/>
    <col min="4866" max="4866" width="18" customWidth="1"/>
    <col min="4867" max="4867" width="6.33203125" customWidth="1"/>
    <col min="4868" max="4871" width="2.33203125" customWidth="1"/>
    <col min="4872" max="4872" width="1.33203125" customWidth="1"/>
    <col min="4873" max="4873" width="12.88671875" customWidth="1"/>
    <col min="4874" max="4874" width="16.88671875" customWidth="1"/>
    <col min="4875" max="4875" width="3" customWidth="1"/>
    <col min="4877" max="4877" width="9.21875" bestFit="1" customWidth="1"/>
    <col min="5121" max="5121" width="17.6640625" customWidth="1"/>
    <col min="5122" max="5122" width="18" customWidth="1"/>
    <col min="5123" max="5123" width="6.33203125" customWidth="1"/>
    <col min="5124" max="5127" width="2.33203125" customWidth="1"/>
    <col min="5128" max="5128" width="1.33203125" customWidth="1"/>
    <col min="5129" max="5129" width="12.88671875" customWidth="1"/>
    <col min="5130" max="5130" width="16.88671875" customWidth="1"/>
    <col min="5131" max="5131" width="3" customWidth="1"/>
    <col min="5133" max="5133" width="9.21875" bestFit="1" customWidth="1"/>
    <col min="5377" max="5377" width="17.6640625" customWidth="1"/>
    <col min="5378" max="5378" width="18" customWidth="1"/>
    <col min="5379" max="5379" width="6.33203125" customWidth="1"/>
    <col min="5380" max="5383" width="2.33203125" customWidth="1"/>
    <col min="5384" max="5384" width="1.33203125" customWidth="1"/>
    <col min="5385" max="5385" width="12.88671875" customWidth="1"/>
    <col min="5386" max="5386" width="16.88671875" customWidth="1"/>
    <col min="5387" max="5387" width="3" customWidth="1"/>
    <col min="5389" max="5389" width="9.21875" bestFit="1" customWidth="1"/>
    <col min="5633" max="5633" width="17.6640625" customWidth="1"/>
    <col min="5634" max="5634" width="18" customWidth="1"/>
    <col min="5635" max="5635" width="6.33203125" customWidth="1"/>
    <col min="5636" max="5639" width="2.33203125" customWidth="1"/>
    <col min="5640" max="5640" width="1.33203125" customWidth="1"/>
    <col min="5641" max="5641" width="12.88671875" customWidth="1"/>
    <col min="5642" max="5642" width="16.88671875" customWidth="1"/>
    <col min="5643" max="5643" width="3" customWidth="1"/>
    <col min="5645" max="5645" width="9.21875" bestFit="1" customWidth="1"/>
    <col min="5889" max="5889" width="17.6640625" customWidth="1"/>
    <col min="5890" max="5890" width="18" customWidth="1"/>
    <col min="5891" max="5891" width="6.33203125" customWidth="1"/>
    <col min="5892" max="5895" width="2.33203125" customWidth="1"/>
    <col min="5896" max="5896" width="1.33203125" customWidth="1"/>
    <col min="5897" max="5897" width="12.88671875" customWidth="1"/>
    <col min="5898" max="5898" width="16.88671875" customWidth="1"/>
    <col min="5899" max="5899" width="3" customWidth="1"/>
    <col min="5901" max="5901" width="9.21875" bestFit="1" customWidth="1"/>
    <col min="6145" max="6145" width="17.6640625" customWidth="1"/>
    <col min="6146" max="6146" width="18" customWidth="1"/>
    <col min="6147" max="6147" width="6.33203125" customWidth="1"/>
    <col min="6148" max="6151" width="2.33203125" customWidth="1"/>
    <col min="6152" max="6152" width="1.33203125" customWidth="1"/>
    <col min="6153" max="6153" width="12.88671875" customWidth="1"/>
    <col min="6154" max="6154" width="16.88671875" customWidth="1"/>
    <col min="6155" max="6155" width="3" customWidth="1"/>
    <col min="6157" max="6157" width="9.21875" bestFit="1" customWidth="1"/>
    <col min="6401" max="6401" width="17.6640625" customWidth="1"/>
    <col min="6402" max="6402" width="18" customWidth="1"/>
    <col min="6403" max="6403" width="6.33203125" customWidth="1"/>
    <col min="6404" max="6407" width="2.33203125" customWidth="1"/>
    <col min="6408" max="6408" width="1.33203125" customWidth="1"/>
    <col min="6409" max="6409" width="12.88671875" customWidth="1"/>
    <col min="6410" max="6410" width="16.88671875" customWidth="1"/>
    <col min="6411" max="6411" width="3" customWidth="1"/>
    <col min="6413" max="6413" width="9.21875" bestFit="1" customWidth="1"/>
    <col min="6657" max="6657" width="17.6640625" customWidth="1"/>
    <col min="6658" max="6658" width="18" customWidth="1"/>
    <col min="6659" max="6659" width="6.33203125" customWidth="1"/>
    <col min="6660" max="6663" width="2.33203125" customWidth="1"/>
    <col min="6664" max="6664" width="1.33203125" customWidth="1"/>
    <col min="6665" max="6665" width="12.88671875" customWidth="1"/>
    <col min="6666" max="6666" width="16.88671875" customWidth="1"/>
    <col min="6667" max="6667" width="3" customWidth="1"/>
    <col min="6669" max="6669" width="9.21875" bestFit="1" customWidth="1"/>
    <col min="6913" max="6913" width="17.6640625" customWidth="1"/>
    <col min="6914" max="6914" width="18" customWidth="1"/>
    <col min="6915" max="6915" width="6.33203125" customWidth="1"/>
    <col min="6916" max="6919" width="2.33203125" customWidth="1"/>
    <col min="6920" max="6920" width="1.33203125" customWidth="1"/>
    <col min="6921" max="6921" width="12.88671875" customWidth="1"/>
    <col min="6922" max="6922" width="16.88671875" customWidth="1"/>
    <col min="6923" max="6923" width="3" customWidth="1"/>
    <col min="6925" max="6925" width="9.21875" bestFit="1" customWidth="1"/>
    <col min="7169" max="7169" width="17.6640625" customWidth="1"/>
    <col min="7170" max="7170" width="18" customWidth="1"/>
    <col min="7171" max="7171" width="6.33203125" customWidth="1"/>
    <col min="7172" max="7175" width="2.33203125" customWidth="1"/>
    <col min="7176" max="7176" width="1.33203125" customWidth="1"/>
    <col min="7177" max="7177" width="12.88671875" customWidth="1"/>
    <col min="7178" max="7178" width="16.88671875" customWidth="1"/>
    <col min="7179" max="7179" width="3" customWidth="1"/>
    <col min="7181" max="7181" width="9.21875" bestFit="1" customWidth="1"/>
    <col min="7425" max="7425" width="17.6640625" customWidth="1"/>
    <col min="7426" max="7426" width="18" customWidth="1"/>
    <col min="7427" max="7427" width="6.33203125" customWidth="1"/>
    <col min="7428" max="7431" width="2.33203125" customWidth="1"/>
    <col min="7432" max="7432" width="1.33203125" customWidth="1"/>
    <col min="7433" max="7433" width="12.88671875" customWidth="1"/>
    <col min="7434" max="7434" width="16.88671875" customWidth="1"/>
    <col min="7435" max="7435" width="3" customWidth="1"/>
    <col min="7437" max="7437" width="9.21875" bestFit="1" customWidth="1"/>
    <col min="7681" max="7681" width="17.6640625" customWidth="1"/>
    <col min="7682" max="7682" width="18" customWidth="1"/>
    <col min="7683" max="7683" width="6.33203125" customWidth="1"/>
    <col min="7684" max="7687" width="2.33203125" customWidth="1"/>
    <col min="7688" max="7688" width="1.33203125" customWidth="1"/>
    <col min="7689" max="7689" width="12.88671875" customWidth="1"/>
    <col min="7690" max="7690" width="16.88671875" customWidth="1"/>
    <col min="7691" max="7691" width="3" customWidth="1"/>
    <col min="7693" max="7693" width="9.21875" bestFit="1" customWidth="1"/>
    <col min="7937" max="7937" width="17.6640625" customWidth="1"/>
    <col min="7938" max="7938" width="18" customWidth="1"/>
    <col min="7939" max="7939" width="6.33203125" customWidth="1"/>
    <col min="7940" max="7943" width="2.33203125" customWidth="1"/>
    <col min="7944" max="7944" width="1.33203125" customWidth="1"/>
    <col min="7945" max="7945" width="12.88671875" customWidth="1"/>
    <col min="7946" max="7946" width="16.88671875" customWidth="1"/>
    <col min="7947" max="7947" width="3" customWidth="1"/>
    <col min="7949" max="7949" width="9.21875" bestFit="1" customWidth="1"/>
    <col min="8193" max="8193" width="17.6640625" customWidth="1"/>
    <col min="8194" max="8194" width="18" customWidth="1"/>
    <col min="8195" max="8195" width="6.33203125" customWidth="1"/>
    <col min="8196" max="8199" width="2.33203125" customWidth="1"/>
    <col min="8200" max="8200" width="1.33203125" customWidth="1"/>
    <col min="8201" max="8201" width="12.88671875" customWidth="1"/>
    <col min="8202" max="8202" width="16.88671875" customWidth="1"/>
    <col min="8203" max="8203" width="3" customWidth="1"/>
    <col min="8205" max="8205" width="9.21875" bestFit="1" customWidth="1"/>
    <col min="8449" max="8449" width="17.6640625" customWidth="1"/>
    <col min="8450" max="8450" width="18" customWidth="1"/>
    <col min="8451" max="8451" width="6.33203125" customWidth="1"/>
    <col min="8452" max="8455" width="2.33203125" customWidth="1"/>
    <col min="8456" max="8456" width="1.33203125" customWidth="1"/>
    <col min="8457" max="8457" width="12.88671875" customWidth="1"/>
    <col min="8458" max="8458" width="16.88671875" customWidth="1"/>
    <col min="8459" max="8459" width="3" customWidth="1"/>
    <col min="8461" max="8461" width="9.21875" bestFit="1" customWidth="1"/>
    <col min="8705" max="8705" width="17.6640625" customWidth="1"/>
    <col min="8706" max="8706" width="18" customWidth="1"/>
    <col min="8707" max="8707" width="6.33203125" customWidth="1"/>
    <col min="8708" max="8711" width="2.33203125" customWidth="1"/>
    <col min="8712" max="8712" width="1.33203125" customWidth="1"/>
    <col min="8713" max="8713" width="12.88671875" customWidth="1"/>
    <col min="8714" max="8714" width="16.88671875" customWidth="1"/>
    <col min="8715" max="8715" width="3" customWidth="1"/>
    <col min="8717" max="8717" width="9.21875" bestFit="1" customWidth="1"/>
    <col min="8961" max="8961" width="17.6640625" customWidth="1"/>
    <col min="8962" max="8962" width="18" customWidth="1"/>
    <col min="8963" max="8963" width="6.33203125" customWidth="1"/>
    <col min="8964" max="8967" width="2.33203125" customWidth="1"/>
    <col min="8968" max="8968" width="1.33203125" customWidth="1"/>
    <col min="8969" max="8969" width="12.88671875" customWidth="1"/>
    <col min="8970" max="8970" width="16.88671875" customWidth="1"/>
    <col min="8971" max="8971" width="3" customWidth="1"/>
    <col min="8973" max="8973" width="9.21875" bestFit="1" customWidth="1"/>
    <col min="9217" max="9217" width="17.6640625" customWidth="1"/>
    <col min="9218" max="9218" width="18" customWidth="1"/>
    <col min="9219" max="9219" width="6.33203125" customWidth="1"/>
    <col min="9220" max="9223" width="2.33203125" customWidth="1"/>
    <col min="9224" max="9224" width="1.33203125" customWidth="1"/>
    <col min="9225" max="9225" width="12.88671875" customWidth="1"/>
    <col min="9226" max="9226" width="16.88671875" customWidth="1"/>
    <col min="9227" max="9227" width="3" customWidth="1"/>
    <col min="9229" max="9229" width="9.21875" bestFit="1" customWidth="1"/>
    <col min="9473" max="9473" width="17.6640625" customWidth="1"/>
    <col min="9474" max="9474" width="18" customWidth="1"/>
    <col min="9475" max="9475" width="6.33203125" customWidth="1"/>
    <col min="9476" max="9479" width="2.33203125" customWidth="1"/>
    <col min="9480" max="9480" width="1.33203125" customWidth="1"/>
    <col min="9481" max="9481" width="12.88671875" customWidth="1"/>
    <col min="9482" max="9482" width="16.88671875" customWidth="1"/>
    <col min="9483" max="9483" width="3" customWidth="1"/>
    <col min="9485" max="9485" width="9.21875" bestFit="1" customWidth="1"/>
    <col min="9729" max="9729" width="17.6640625" customWidth="1"/>
    <col min="9730" max="9730" width="18" customWidth="1"/>
    <col min="9731" max="9731" width="6.33203125" customWidth="1"/>
    <col min="9732" max="9735" width="2.33203125" customWidth="1"/>
    <col min="9736" max="9736" width="1.33203125" customWidth="1"/>
    <col min="9737" max="9737" width="12.88671875" customWidth="1"/>
    <col min="9738" max="9738" width="16.88671875" customWidth="1"/>
    <col min="9739" max="9739" width="3" customWidth="1"/>
    <col min="9741" max="9741" width="9.21875" bestFit="1" customWidth="1"/>
    <col min="9985" max="9985" width="17.6640625" customWidth="1"/>
    <col min="9986" max="9986" width="18" customWidth="1"/>
    <col min="9987" max="9987" width="6.33203125" customWidth="1"/>
    <col min="9988" max="9991" width="2.33203125" customWidth="1"/>
    <col min="9992" max="9992" width="1.33203125" customWidth="1"/>
    <col min="9993" max="9993" width="12.88671875" customWidth="1"/>
    <col min="9994" max="9994" width="16.88671875" customWidth="1"/>
    <col min="9995" max="9995" width="3" customWidth="1"/>
    <col min="9997" max="9997" width="9.21875" bestFit="1" customWidth="1"/>
    <col min="10241" max="10241" width="17.6640625" customWidth="1"/>
    <col min="10242" max="10242" width="18" customWidth="1"/>
    <col min="10243" max="10243" width="6.33203125" customWidth="1"/>
    <col min="10244" max="10247" width="2.33203125" customWidth="1"/>
    <col min="10248" max="10248" width="1.33203125" customWidth="1"/>
    <col min="10249" max="10249" width="12.88671875" customWidth="1"/>
    <col min="10250" max="10250" width="16.88671875" customWidth="1"/>
    <col min="10251" max="10251" width="3" customWidth="1"/>
    <col min="10253" max="10253" width="9.21875" bestFit="1" customWidth="1"/>
    <col min="10497" max="10497" width="17.6640625" customWidth="1"/>
    <col min="10498" max="10498" width="18" customWidth="1"/>
    <col min="10499" max="10499" width="6.33203125" customWidth="1"/>
    <col min="10500" max="10503" width="2.33203125" customWidth="1"/>
    <col min="10504" max="10504" width="1.33203125" customWidth="1"/>
    <col min="10505" max="10505" width="12.88671875" customWidth="1"/>
    <col min="10506" max="10506" width="16.88671875" customWidth="1"/>
    <col min="10507" max="10507" width="3" customWidth="1"/>
    <col min="10509" max="10509" width="9.21875" bestFit="1" customWidth="1"/>
    <col min="10753" max="10753" width="17.6640625" customWidth="1"/>
    <col min="10754" max="10754" width="18" customWidth="1"/>
    <col min="10755" max="10755" width="6.33203125" customWidth="1"/>
    <col min="10756" max="10759" width="2.33203125" customWidth="1"/>
    <col min="10760" max="10760" width="1.33203125" customWidth="1"/>
    <col min="10761" max="10761" width="12.88671875" customWidth="1"/>
    <col min="10762" max="10762" width="16.88671875" customWidth="1"/>
    <col min="10763" max="10763" width="3" customWidth="1"/>
    <col min="10765" max="10765" width="9.21875" bestFit="1" customWidth="1"/>
    <col min="11009" max="11009" width="17.6640625" customWidth="1"/>
    <col min="11010" max="11010" width="18" customWidth="1"/>
    <col min="11011" max="11011" width="6.33203125" customWidth="1"/>
    <col min="11012" max="11015" width="2.33203125" customWidth="1"/>
    <col min="11016" max="11016" width="1.33203125" customWidth="1"/>
    <col min="11017" max="11017" width="12.88671875" customWidth="1"/>
    <col min="11018" max="11018" width="16.88671875" customWidth="1"/>
    <col min="11019" max="11019" width="3" customWidth="1"/>
    <col min="11021" max="11021" width="9.21875" bestFit="1" customWidth="1"/>
    <col min="11265" max="11265" width="17.6640625" customWidth="1"/>
    <col min="11266" max="11266" width="18" customWidth="1"/>
    <col min="11267" max="11267" width="6.33203125" customWidth="1"/>
    <col min="11268" max="11271" width="2.33203125" customWidth="1"/>
    <col min="11272" max="11272" width="1.33203125" customWidth="1"/>
    <col min="11273" max="11273" width="12.88671875" customWidth="1"/>
    <col min="11274" max="11274" width="16.88671875" customWidth="1"/>
    <col min="11275" max="11275" width="3" customWidth="1"/>
    <col min="11277" max="11277" width="9.21875" bestFit="1" customWidth="1"/>
    <col min="11521" max="11521" width="17.6640625" customWidth="1"/>
    <col min="11522" max="11522" width="18" customWidth="1"/>
    <col min="11523" max="11523" width="6.33203125" customWidth="1"/>
    <col min="11524" max="11527" width="2.33203125" customWidth="1"/>
    <col min="11528" max="11528" width="1.33203125" customWidth="1"/>
    <col min="11529" max="11529" width="12.88671875" customWidth="1"/>
    <col min="11530" max="11530" width="16.88671875" customWidth="1"/>
    <col min="11531" max="11531" width="3" customWidth="1"/>
    <col min="11533" max="11533" width="9.21875" bestFit="1" customWidth="1"/>
    <col min="11777" max="11777" width="17.6640625" customWidth="1"/>
    <col min="11778" max="11778" width="18" customWidth="1"/>
    <col min="11779" max="11779" width="6.33203125" customWidth="1"/>
    <col min="11780" max="11783" width="2.33203125" customWidth="1"/>
    <col min="11784" max="11784" width="1.33203125" customWidth="1"/>
    <col min="11785" max="11785" width="12.88671875" customWidth="1"/>
    <col min="11786" max="11786" width="16.88671875" customWidth="1"/>
    <col min="11787" max="11787" width="3" customWidth="1"/>
    <col min="11789" max="11789" width="9.21875" bestFit="1" customWidth="1"/>
    <col min="12033" max="12033" width="17.6640625" customWidth="1"/>
    <col min="12034" max="12034" width="18" customWidth="1"/>
    <col min="12035" max="12035" width="6.33203125" customWidth="1"/>
    <col min="12036" max="12039" width="2.33203125" customWidth="1"/>
    <col min="12040" max="12040" width="1.33203125" customWidth="1"/>
    <col min="12041" max="12041" width="12.88671875" customWidth="1"/>
    <col min="12042" max="12042" width="16.88671875" customWidth="1"/>
    <col min="12043" max="12043" width="3" customWidth="1"/>
    <col min="12045" max="12045" width="9.21875" bestFit="1" customWidth="1"/>
    <col min="12289" max="12289" width="17.6640625" customWidth="1"/>
    <col min="12290" max="12290" width="18" customWidth="1"/>
    <col min="12291" max="12291" width="6.33203125" customWidth="1"/>
    <col min="12292" max="12295" width="2.33203125" customWidth="1"/>
    <col min="12296" max="12296" width="1.33203125" customWidth="1"/>
    <col min="12297" max="12297" width="12.88671875" customWidth="1"/>
    <col min="12298" max="12298" width="16.88671875" customWidth="1"/>
    <col min="12299" max="12299" width="3" customWidth="1"/>
    <col min="12301" max="12301" width="9.21875" bestFit="1" customWidth="1"/>
    <col min="12545" max="12545" width="17.6640625" customWidth="1"/>
    <col min="12546" max="12546" width="18" customWidth="1"/>
    <col min="12547" max="12547" width="6.33203125" customWidth="1"/>
    <col min="12548" max="12551" width="2.33203125" customWidth="1"/>
    <col min="12552" max="12552" width="1.33203125" customWidth="1"/>
    <col min="12553" max="12553" width="12.88671875" customWidth="1"/>
    <col min="12554" max="12554" width="16.88671875" customWidth="1"/>
    <col min="12555" max="12555" width="3" customWidth="1"/>
    <col min="12557" max="12557" width="9.21875" bestFit="1" customWidth="1"/>
    <col min="12801" max="12801" width="17.6640625" customWidth="1"/>
    <col min="12802" max="12802" width="18" customWidth="1"/>
    <col min="12803" max="12803" width="6.33203125" customWidth="1"/>
    <col min="12804" max="12807" width="2.33203125" customWidth="1"/>
    <col min="12808" max="12808" width="1.33203125" customWidth="1"/>
    <col min="12809" max="12809" width="12.88671875" customWidth="1"/>
    <col min="12810" max="12810" width="16.88671875" customWidth="1"/>
    <col min="12811" max="12811" width="3" customWidth="1"/>
    <col min="12813" max="12813" width="9.21875" bestFit="1" customWidth="1"/>
    <col min="13057" max="13057" width="17.6640625" customWidth="1"/>
    <col min="13058" max="13058" width="18" customWidth="1"/>
    <col min="13059" max="13059" width="6.33203125" customWidth="1"/>
    <col min="13060" max="13063" width="2.33203125" customWidth="1"/>
    <col min="13064" max="13064" width="1.33203125" customWidth="1"/>
    <col min="13065" max="13065" width="12.88671875" customWidth="1"/>
    <col min="13066" max="13066" width="16.88671875" customWidth="1"/>
    <col min="13067" max="13067" width="3" customWidth="1"/>
    <col min="13069" max="13069" width="9.21875" bestFit="1" customWidth="1"/>
    <col min="13313" max="13313" width="17.6640625" customWidth="1"/>
    <col min="13314" max="13314" width="18" customWidth="1"/>
    <col min="13315" max="13315" width="6.33203125" customWidth="1"/>
    <col min="13316" max="13319" width="2.33203125" customWidth="1"/>
    <col min="13320" max="13320" width="1.33203125" customWidth="1"/>
    <col min="13321" max="13321" width="12.88671875" customWidth="1"/>
    <col min="13322" max="13322" width="16.88671875" customWidth="1"/>
    <col min="13323" max="13323" width="3" customWidth="1"/>
    <col min="13325" max="13325" width="9.21875" bestFit="1" customWidth="1"/>
    <col min="13569" max="13569" width="17.6640625" customWidth="1"/>
    <col min="13570" max="13570" width="18" customWidth="1"/>
    <col min="13571" max="13571" width="6.33203125" customWidth="1"/>
    <col min="13572" max="13575" width="2.33203125" customWidth="1"/>
    <col min="13576" max="13576" width="1.33203125" customWidth="1"/>
    <col min="13577" max="13577" width="12.88671875" customWidth="1"/>
    <col min="13578" max="13578" width="16.88671875" customWidth="1"/>
    <col min="13579" max="13579" width="3" customWidth="1"/>
    <col min="13581" max="13581" width="9.21875" bestFit="1" customWidth="1"/>
    <col min="13825" max="13825" width="17.6640625" customWidth="1"/>
    <col min="13826" max="13826" width="18" customWidth="1"/>
    <col min="13827" max="13827" width="6.33203125" customWidth="1"/>
    <col min="13828" max="13831" width="2.33203125" customWidth="1"/>
    <col min="13832" max="13832" width="1.33203125" customWidth="1"/>
    <col min="13833" max="13833" width="12.88671875" customWidth="1"/>
    <col min="13834" max="13834" width="16.88671875" customWidth="1"/>
    <col min="13835" max="13835" width="3" customWidth="1"/>
    <col min="13837" max="13837" width="9.21875" bestFit="1" customWidth="1"/>
    <col min="14081" max="14081" width="17.6640625" customWidth="1"/>
    <col min="14082" max="14082" width="18" customWidth="1"/>
    <col min="14083" max="14083" width="6.33203125" customWidth="1"/>
    <col min="14084" max="14087" width="2.33203125" customWidth="1"/>
    <col min="14088" max="14088" width="1.33203125" customWidth="1"/>
    <col min="14089" max="14089" width="12.88671875" customWidth="1"/>
    <col min="14090" max="14090" width="16.88671875" customWidth="1"/>
    <col min="14091" max="14091" width="3" customWidth="1"/>
    <col min="14093" max="14093" width="9.21875" bestFit="1" customWidth="1"/>
    <col min="14337" max="14337" width="17.6640625" customWidth="1"/>
    <col min="14338" max="14338" width="18" customWidth="1"/>
    <col min="14339" max="14339" width="6.33203125" customWidth="1"/>
    <col min="14340" max="14343" width="2.33203125" customWidth="1"/>
    <col min="14344" max="14344" width="1.33203125" customWidth="1"/>
    <col min="14345" max="14345" width="12.88671875" customWidth="1"/>
    <col min="14346" max="14346" width="16.88671875" customWidth="1"/>
    <col min="14347" max="14347" width="3" customWidth="1"/>
    <col min="14349" max="14349" width="9.21875" bestFit="1" customWidth="1"/>
    <col min="14593" max="14593" width="17.6640625" customWidth="1"/>
    <col min="14594" max="14594" width="18" customWidth="1"/>
    <col min="14595" max="14595" width="6.33203125" customWidth="1"/>
    <col min="14596" max="14599" width="2.33203125" customWidth="1"/>
    <col min="14600" max="14600" width="1.33203125" customWidth="1"/>
    <col min="14601" max="14601" width="12.88671875" customWidth="1"/>
    <col min="14602" max="14602" width="16.88671875" customWidth="1"/>
    <col min="14603" max="14603" width="3" customWidth="1"/>
    <col min="14605" max="14605" width="9.21875" bestFit="1" customWidth="1"/>
    <col min="14849" max="14849" width="17.6640625" customWidth="1"/>
    <col min="14850" max="14850" width="18" customWidth="1"/>
    <col min="14851" max="14851" width="6.33203125" customWidth="1"/>
    <col min="14852" max="14855" width="2.33203125" customWidth="1"/>
    <col min="14856" max="14856" width="1.33203125" customWidth="1"/>
    <col min="14857" max="14857" width="12.88671875" customWidth="1"/>
    <col min="14858" max="14858" width="16.88671875" customWidth="1"/>
    <col min="14859" max="14859" width="3" customWidth="1"/>
    <col min="14861" max="14861" width="9.21875" bestFit="1" customWidth="1"/>
    <col min="15105" max="15105" width="17.6640625" customWidth="1"/>
    <col min="15106" max="15106" width="18" customWidth="1"/>
    <col min="15107" max="15107" width="6.33203125" customWidth="1"/>
    <col min="15108" max="15111" width="2.33203125" customWidth="1"/>
    <col min="15112" max="15112" width="1.33203125" customWidth="1"/>
    <col min="15113" max="15113" width="12.88671875" customWidth="1"/>
    <col min="15114" max="15114" width="16.88671875" customWidth="1"/>
    <col min="15115" max="15115" width="3" customWidth="1"/>
    <col min="15117" max="15117" width="9.21875" bestFit="1" customWidth="1"/>
    <col min="15361" max="15361" width="17.6640625" customWidth="1"/>
    <col min="15362" max="15362" width="18" customWidth="1"/>
    <col min="15363" max="15363" width="6.33203125" customWidth="1"/>
    <col min="15364" max="15367" width="2.33203125" customWidth="1"/>
    <col min="15368" max="15368" width="1.33203125" customWidth="1"/>
    <col min="15369" max="15369" width="12.88671875" customWidth="1"/>
    <col min="15370" max="15370" width="16.88671875" customWidth="1"/>
    <col min="15371" max="15371" width="3" customWidth="1"/>
    <col min="15373" max="15373" width="9.21875" bestFit="1" customWidth="1"/>
    <col min="15617" max="15617" width="17.6640625" customWidth="1"/>
    <col min="15618" max="15618" width="18" customWidth="1"/>
    <col min="15619" max="15619" width="6.33203125" customWidth="1"/>
    <col min="15620" max="15623" width="2.33203125" customWidth="1"/>
    <col min="15624" max="15624" width="1.33203125" customWidth="1"/>
    <col min="15625" max="15625" width="12.88671875" customWidth="1"/>
    <col min="15626" max="15626" width="16.88671875" customWidth="1"/>
    <col min="15627" max="15627" width="3" customWidth="1"/>
    <col min="15629" max="15629" width="9.21875" bestFit="1" customWidth="1"/>
    <col min="15873" max="15873" width="17.6640625" customWidth="1"/>
    <col min="15874" max="15874" width="18" customWidth="1"/>
    <col min="15875" max="15875" width="6.33203125" customWidth="1"/>
    <col min="15876" max="15879" width="2.33203125" customWidth="1"/>
    <col min="15880" max="15880" width="1.33203125" customWidth="1"/>
    <col min="15881" max="15881" width="12.88671875" customWidth="1"/>
    <col min="15882" max="15882" width="16.88671875" customWidth="1"/>
    <col min="15883" max="15883" width="3" customWidth="1"/>
    <col min="15885" max="15885" width="9.21875" bestFit="1" customWidth="1"/>
    <col min="16129" max="16129" width="17.6640625" customWidth="1"/>
    <col min="16130" max="16130" width="18" customWidth="1"/>
    <col min="16131" max="16131" width="6.33203125" customWidth="1"/>
    <col min="16132" max="16135" width="2.33203125" customWidth="1"/>
    <col min="16136" max="16136" width="1.33203125" customWidth="1"/>
    <col min="16137" max="16137" width="12.88671875" customWidth="1"/>
    <col min="16138" max="16138" width="16.88671875" customWidth="1"/>
    <col min="16139" max="16139" width="3" customWidth="1"/>
    <col min="16141" max="16141" width="9.21875" bestFit="1" customWidth="1"/>
  </cols>
  <sheetData>
    <row r="2" spans="1:25" s="52" customFormat="1" ht="67.5" customHeight="1">
      <c r="A2" s="176" t="s">
        <v>44</v>
      </c>
      <c r="B2" s="177"/>
      <c r="C2" s="177"/>
      <c r="D2" s="177"/>
      <c r="E2" s="177"/>
      <c r="F2" s="177"/>
      <c r="G2" s="177"/>
      <c r="H2" s="177"/>
      <c r="I2" s="177"/>
      <c r="J2" s="178"/>
      <c r="K2" s="51"/>
      <c r="L2" s="51"/>
      <c r="M2" s="51"/>
    </row>
    <row r="3" spans="1:25" s="19" customFormat="1" ht="35.25" customHeight="1">
      <c r="A3" s="53" t="s">
        <v>45</v>
      </c>
      <c r="B3" s="189" t="str">
        <f>승락서!B3</f>
        <v>수소에너지소재연구단(0184호) 청정수소 분리판 기술 개발실 구축(설비)</v>
      </c>
      <c r="C3" s="190"/>
      <c r="D3" s="190"/>
      <c r="E3" s="190"/>
      <c r="F3" s="190"/>
      <c r="G3" s="190"/>
      <c r="H3" s="190"/>
      <c r="I3" s="190"/>
      <c r="J3" s="191"/>
      <c r="K3" s="54"/>
      <c r="M3" s="192" t="s">
        <v>46</v>
      </c>
      <c r="N3" s="192"/>
      <c r="O3" s="192"/>
      <c r="P3" s="192"/>
      <c r="Q3" s="192"/>
      <c r="R3" s="192"/>
      <c r="S3" s="192"/>
      <c r="T3" s="192"/>
      <c r="U3" s="192"/>
      <c r="V3" s="192"/>
      <c r="W3" s="192"/>
      <c r="X3" s="192"/>
      <c r="Y3" s="192"/>
    </row>
    <row r="4" spans="1:25" s="19" customFormat="1" ht="35.25" customHeight="1">
      <c r="A4" s="53" t="s">
        <v>47</v>
      </c>
      <c r="B4" s="55" t="str">
        <f>승락서!A23</f>
        <v>2025년09월26일</v>
      </c>
      <c r="C4" s="56"/>
      <c r="D4" s="56"/>
      <c r="E4" s="57"/>
      <c r="F4" s="57"/>
      <c r="G4" s="57"/>
      <c r="H4" s="58"/>
      <c r="I4" s="59"/>
      <c r="J4" s="60"/>
      <c r="K4" s="61"/>
      <c r="L4" s="61"/>
      <c r="M4" s="62" t="s">
        <v>48</v>
      </c>
    </row>
    <row r="5" spans="1:25" s="19" customFormat="1" ht="35.25" customHeight="1">
      <c r="A5" s="53" t="s">
        <v>49</v>
      </c>
      <c r="B5" s="63" t="str">
        <f>승락서!B5</f>
        <v>일금이백칠십구만원정</v>
      </c>
      <c r="C5" s="63"/>
      <c r="D5" s="63"/>
      <c r="E5" s="57"/>
      <c r="F5" s="57"/>
      <c r="G5" s="57"/>
      <c r="H5" s="64" t="s">
        <v>30</v>
      </c>
      <c r="I5" s="65">
        <f>승락서!C6</f>
        <v>2790000</v>
      </c>
      <c r="J5" s="66" t="s">
        <v>50</v>
      </c>
      <c r="K5" s="61"/>
      <c r="L5" s="61"/>
      <c r="M5" s="62" t="s">
        <v>51</v>
      </c>
    </row>
    <row r="6" spans="1:25" s="19" customFormat="1" ht="35.25" customHeight="1">
      <c r="A6" s="53" t="s">
        <v>52</v>
      </c>
      <c r="B6" s="67" t="str">
        <f>"일금"&amp;TEXT(I5*0.03,"[DBNUM4]G/표준")&amp;"원정"</f>
        <v>일금팔만삼천칠백원정</v>
      </c>
      <c r="C6" s="67"/>
      <c r="D6" s="67"/>
      <c r="E6" s="68"/>
      <c r="F6" s="68"/>
      <c r="G6" s="68"/>
      <c r="H6" s="69" t="s">
        <v>30</v>
      </c>
      <c r="I6" s="70">
        <f>I5*0.03</f>
        <v>83700</v>
      </c>
      <c r="J6" s="71" t="s">
        <v>53</v>
      </c>
      <c r="K6" s="15"/>
      <c r="L6" s="15"/>
      <c r="M6" s="72" t="s">
        <v>54</v>
      </c>
      <c r="N6" s="28"/>
      <c r="O6" s="28"/>
      <c r="P6" s="28"/>
      <c r="Q6" s="28"/>
      <c r="R6" s="28"/>
      <c r="S6" s="28"/>
      <c r="T6" s="28"/>
      <c r="U6" s="29"/>
    </row>
    <row r="7" spans="1:25" s="19" customFormat="1" ht="35.25" customHeight="1">
      <c r="A7" s="53" t="s">
        <v>55</v>
      </c>
      <c r="B7" s="59" t="s">
        <v>56</v>
      </c>
      <c r="C7" s="59"/>
      <c r="D7" s="59"/>
      <c r="E7" s="58"/>
      <c r="F7" s="58"/>
      <c r="G7" s="58"/>
      <c r="H7" s="73"/>
      <c r="I7" s="74"/>
      <c r="J7" s="73"/>
      <c r="K7" s="15"/>
      <c r="L7" s="15"/>
      <c r="M7" s="62" t="s">
        <v>57</v>
      </c>
    </row>
    <row r="8" spans="1:25" ht="16.5">
      <c r="A8" s="75"/>
      <c r="B8" s="76"/>
      <c r="C8" s="76"/>
      <c r="D8" s="76"/>
      <c r="E8" s="77"/>
      <c r="F8" s="77"/>
      <c r="G8" s="77"/>
      <c r="H8" s="77"/>
      <c r="I8" s="77"/>
      <c r="J8" s="78"/>
      <c r="M8" s="72" t="s">
        <v>58</v>
      </c>
      <c r="N8" s="28"/>
      <c r="O8" s="79"/>
      <c r="P8" s="79"/>
      <c r="Q8" s="79"/>
      <c r="R8" s="79"/>
      <c r="S8" s="79"/>
      <c r="T8" s="79"/>
      <c r="U8" s="79"/>
      <c r="V8" s="79"/>
      <c r="W8" s="79"/>
      <c r="X8" s="80"/>
    </row>
    <row r="9" spans="1:25" ht="16.5" customHeight="1">
      <c r="A9" s="46"/>
      <c r="B9" s="17"/>
      <c r="C9" s="17"/>
      <c r="D9" s="17"/>
      <c r="E9" s="17"/>
      <c r="F9" s="17"/>
      <c r="G9" s="17"/>
      <c r="H9" s="17"/>
      <c r="I9" s="17"/>
      <c r="J9" s="47"/>
      <c r="M9" s="62" t="s">
        <v>59</v>
      </c>
      <c r="N9" s="19"/>
    </row>
    <row r="10" spans="1:25" ht="21" customHeight="1">
      <c r="A10" s="81" t="s">
        <v>60</v>
      </c>
      <c r="B10" s="82"/>
      <c r="C10" s="82"/>
      <c r="D10" s="82"/>
      <c r="E10" s="82"/>
      <c r="F10" s="82"/>
      <c r="G10" s="82"/>
      <c r="H10" s="83"/>
      <c r="I10" s="17"/>
      <c r="J10" s="47"/>
      <c r="M10" s="62" t="s">
        <v>61</v>
      </c>
      <c r="N10" s="19"/>
    </row>
    <row r="11" spans="1:25" ht="21" customHeight="1">
      <c r="A11" s="46" t="s">
        <v>62</v>
      </c>
      <c r="B11" s="17"/>
      <c r="C11" s="17"/>
      <c r="D11" s="17"/>
      <c r="E11" s="17"/>
      <c r="F11" s="17"/>
      <c r="G11" s="17"/>
      <c r="H11" s="17"/>
      <c r="I11" s="17"/>
      <c r="J11" s="47"/>
      <c r="M11" s="72" t="s">
        <v>63</v>
      </c>
      <c r="N11" s="28"/>
      <c r="O11" s="79"/>
      <c r="P11" s="79"/>
      <c r="Q11" s="79"/>
      <c r="R11" s="79"/>
      <c r="S11" s="79"/>
    </row>
    <row r="12" spans="1:25" ht="21" customHeight="1">
      <c r="A12" s="46" t="s">
        <v>64</v>
      </c>
      <c r="B12" s="17"/>
      <c r="C12" s="17"/>
      <c r="D12" s="17"/>
      <c r="E12" s="17"/>
      <c r="F12" s="17"/>
      <c r="G12" s="17"/>
      <c r="H12" s="17"/>
      <c r="I12" s="17"/>
      <c r="J12" s="47"/>
    </row>
    <row r="13" spans="1:25" ht="21" customHeight="1">
      <c r="A13" s="46" t="s">
        <v>65</v>
      </c>
      <c r="B13" s="17"/>
      <c r="C13" s="17"/>
      <c r="D13" s="17"/>
      <c r="E13" s="17"/>
      <c r="F13" s="17"/>
      <c r="G13" s="17"/>
      <c r="H13" s="17"/>
      <c r="I13" s="17"/>
      <c r="J13" s="47"/>
    </row>
    <row r="14" spans="1:25" ht="21" customHeight="1">
      <c r="A14" s="46" t="s">
        <v>66</v>
      </c>
      <c r="B14" s="17"/>
      <c r="C14" s="17"/>
      <c r="D14" s="17"/>
      <c r="E14" s="17"/>
      <c r="F14" s="17"/>
      <c r="G14" s="17"/>
      <c r="H14" s="17"/>
      <c r="I14" s="17"/>
      <c r="J14" s="47"/>
      <c r="M14" s="84" t="s">
        <v>67</v>
      </c>
      <c r="N14" s="84"/>
      <c r="O14" s="84"/>
      <c r="P14" s="84"/>
    </row>
    <row r="15" spans="1:25" ht="16.5">
      <c r="A15" s="46"/>
      <c r="B15" s="17"/>
      <c r="C15" s="17"/>
      <c r="D15" s="17"/>
      <c r="E15" s="17"/>
      <c r="F15" s="17"/>
      <c r="G15" s="17"/>
      <c r="H15" s="17"/>
      <c r="I15" s="17"/>
      <c r="J15" s="47" t="s">
        <v>68</v>
      </c>
      <c r="M15" s="84" t="s">
        <v>69</v>
      </c>
      <c r="N15" s="84"/>
      <c r="O15" s="84"/>
      <c r="P15" s="84"/>
    </row>
    <row r="16" spans="1:25" ht="16.5">
      <c r="A16" s="46"/>
      <c r="B16" s="17"/>
      <c r="C16" s="17"/>
      <c r="D16" s="17"/>
      <c r="E16" s="17"/>
      <c r="F16" s="17"/>
      <c r="G16" s="17"/>
      <c r="H16" s="17"/>
      <c r="I16" s="17"/>
      <c r="J16" s="47"/>
      <c r="M16" s="84" t="s">
        <v>70</v>
      </c>
      <c r="N16" s="84"/>
      <c r="O16" s="84"/>
      <c r="P16" s="84"/>
    </row>
    <row r="17" spans="1:12" s="86" customFormat="1" ht="16.5">
      <c r="A17" s="46"/>
      <c r="B17" s="17" t="s">
        <v>71</v>
      </c>
      <c r="C17" s="17"/>
      <c r="D17" s="17"/>
      <c r="E17" s="17"/>
      <c r="F17" s="17"/>
      <c r="G17" s="17"/>
      <c r="H17" s="17"/>
      <c r="I17" s="17" t="s">
        <v>68</v>
      </c>
      <c r="J17" s="47"/>
      <c r="K17" s="85"/>
      <c r="L17" s="85"/>
    </row>
    <row r="18" spans="1:12" ht="16.5">
      <c r="A18" s="193" t="s">
        <v>72</v>
      </c>
      <c r="B18" s="194"/>
      <c r="C18" s="194"/>
      <c r="D18" s="194"/>
      <c r="E18" s="194"/>
      <c r="F18" s="194"/>
      <c r="G18" s="194"/>
      <c r="H18" s="194"/>
      <c r="I18" s="194"/>
      <c r="J18" s="195"/>
      <c r="K18" s="87"/>
      <c r="L18" s="87"/>
    </row>
    <row r="19" spans="1:12" ht="16.5">
      <c r="A19" s="88"/>
      <c r="B19" s="89"/>
      <c r="C19" s="89"/>
      <c r="D19" s="89"/>
      <c r="E19" s="89"/>
      <c r="F19" s="89"/>
      <c r="G19" s="89"/>
      <c r="H19" s="89"/>
      <c r="I19" s="89"/>
      <c r="J19" s="90"/>
      <c r="K19" s="87"/>
      <c r="L19" s="87"/>
    </row>
    <row r="20" spans="1:12" ht="7.5" customHeight="1">
      <c r="A20" s="46"/>
      <c r="B20" s="17"/>
      <c r="C20" s="17"/>
      <c r="D20" s="17"/>
      <c r="E20" s="17"/>
      <c r="F20" s="17"/>
      <c r="G20" s="17"/>
      <c r="H20" s="17"/>
      <c r="I20" s="17"/>
      <c r="J20" s="47" t="s">
        <v>68</v>
      </c>
    </row>
    <row r="21" spans="1:12" ht="16.5">
      <c r="A21" s="46"/>
      <c r="B21" s="17"/>
      <c r="C21" s="17"/>
      <c r="D21" s="17"/>
      <c r="E21" s="17"/>
      <c r="F21" s="17"/>
      <c r="G21" s="17"/>
      <c r="H21" s="17"/>
      <c r="I21" s="17"/>
      <c r="J21" s="47"/>
    </row>
    <row r="22" spans="1:12" ht="18.75" customHeight="1">
      <c r="A22" s="39" t="s">
        <v>41</v>
      </c>
      <c r="B22" s="17" t="str">
        <f>승락서!D27</f>
        <v>서울시 송파구 토성로 38-6번지</v>
      </c>
      <c r="C22" s="17"/>
      <c r="D22" s="17"/>
      <c r="E22" s="17"/>
      <c r="F22" s="17"/>
      <c r="G22" s="91"/>
      <c r="H22" s="17"/>
      <c r="I22" s="17"/>
      <c r="J22" s="47"/>
    </row>
    <row r="23" spans="1:12" ht="12" customHeight="1">
      <c r="A23" s="39"/>
      <c r="B23" s="17"/>
      <c r="C23" s="17"/>
      <c r="D23" s="17"/>
      <c r="E23" s="17"/>
      <c r="F23" s="17"/>
      <c r="G23" s="17"/>
      <c r="H23" s="17"/>
      <c r="I23" s="17"/>
      <c r="J23" s="47"/>
    </row>
    <row r="24" spans="1:12" ht="15.75" customHeight="1">
      <c r="A24" s="39" t="s">
        <v>42</v>
      </c>
      <c r="B24" s="17" t="str">
        <f>승락서!D29</f>
        <v>경은엔지니어링</v>
      </c>
      <c r="C24" s="17"/>
      <c r="D24" s="17"/>
      <c r="E24" s="17"/>
      <c r="F24" s="17"/>
      <c r="G24" s="17"/>
      <c r="H24" s="17"/>
      <c r="I24" s="17"/>
      <c r="J24" s="47"/>
    </row>
    <row r="25" spans="1:12" ht="13.5" customHeight="1">
      <c r="A25" s="39"/>
      <c r="B25" s="17"/>
      <c r="C25" s="17"/>
      <c r="D25" s="17"/>
      <c r="E25" s="17"/>
      <c r="F25" s="17"/>
      <c r="G25" s="17"/>
      <c r="H25" s="17"/>
      <c r="I25" s="17"/>
      <c r="J25" s="47"/>
    </row>
    <row r="26" spans="1:12" ht="18.75" customHeight="1">
      <c r="A26" s="39" t="s">
        <v>43</v>
      </c>
      <c r="B26" s="17" t="str">
        <f>승락서!D31</f>
        <v>김강수     (인)</v>
      </c>
      <c r="C26" s="17"/>
      <c r="E26" s="17"/>
      <c r="F26" s="17"/>
      <c r="G26" s="17"/>
      <c r="H26" s="17"/>
      <c r="I26" s="17"/>
      <c r="J26" s="47"/>
    </row>
    <row r="27" spans="1:12" ht="16.5">
      <c r="A27" s="46"/>
      <c r="B27" s="17"/>
      <c r="C27" s="17"/>
      <c r="D27" s="17"/>
      <c r="E27" s="17"/>
      <c r="F27" s="17"/>
      <c r="G27" s="17"/>
      <c r="H27" s="17"/>
      <c r="I27" s="17"/>
      <c r="J27" s="47"/>
    </row>
    <row r="28" spans="1:12" ht="16.5">
      <c r="A28" s="46"/>
      <c r="B28" s="17"/>
      <c r="C28" s="17"/>
      <c r="D28" s="17"/>
      <c r="E28" s="17"/>
      <c r="F28" s="17"/>
      <c r="G28" s="17"/>
      <c r="H28" s="17"/>
      <c r="I28" s="17"/>
      <c r="J28" s="47"/>
    </row>
    <row r="29" spans="1:12" ht="16.5">
      <c r="A29" s="46"/>
      <c r="B29" s="17"/>
      <c r="C29" s="17"/>
      <c r="D29" s="17"/>
      <c r="E29" s="17"/>
      <c r="F29" s="17"/>
      <c r="G29" s="17"/>
      <c r="H29" s="17"/>
      <c r="I29" s="17"/>
      <c r="J29" s="47"/>
    </row>
    <row r="30" spans="1:12" ht="26.25">
      <c r="A30" s="164" t="s">
        <v>73</v>
      </c>
      <c r="B30" s="165"/>
      <c r="C30" s="165"/>
      <c r="D30" s="165"/>
      <c r="E30" s="165"/>
      <c r="F30" s="165"/>
      <c r="G30" s="165"/>
      <c r="H30" s="165"/>
      <c r="I30" s="165"/>
      <c r="J30" s="166"/>
    </row>
    <row r="31" spans="1:12" ht="16.5">
      <c r="A31" s="46"/>
      <c r="B31" s="17"/>
      <c r="C31" s="17"/>
      <c r="D31" s="17"/>
      <c r="E31" s="17"/>
      <c r="F31" s="17"/>
      <c r="G31" s="17"/>
      <c r="H31" s="17"/>
      <c r="I31" s="17"/>
      <c r="J31" s="47"/>
    </row>
    <row r="32" spans="1:12" s="19" customFormat="1" ht="21.75" customHeight="1">
      <c r="A32" s="186"/>
      <c r="B32" s="187"/>
      <c r="C32" s="187"/>
      <c r="D32" s="187"/>
      <c r="E32" s="187"/>
      <c r="F32" s="187"/>
      <c r="G32" s="187"/>
      <c r="H32" s="187"/>
      <c r="I32" s="187"/>
      <c r="J32" s="188"/>
    </row>
    <row r="33" spans="1:10" ht="15.75" customHeight="1">
      <c r="A33" s="92"/>
      <c r="B33" s="92"/>
      <c r="C33" s="92"/>
      <c r="D33" s="92"/>
      <c r="E33" s="92"/>
      <c r="F33" s="92"/>
      <c r="G33" s="92"/>
      <c r="H33" s="92"/>
      <c r="I33" s="92"/>
      <c r="J33" s="92"/>
    </row>
  </sheetData>
  <mergeCells count="6">
    <mergeCell ref="A32:J32"/>
    <mergeCell ref="A2:J2"/>
    <mergeCell ref="B3:J3"/>
    <mergeCell ref="M3:Y3"/>
    <mergeCell ref="A18:J18"/>
    <mergeCell ref="A30:J30"/>
  </mergeCells>
  <phoneticPr fontId="3" type="noConversion"/>
  <printOptions horizontalCentered="1" verticalCentered="1"/>
  <pageMargins left="0.23622047244094491" right="0.23622047244094491" top="0.74803149606299213" bottom="0.74803149606299213" header="0.31496062992125984" footer="0.31496062992125984"/>
  <pageSetup paperSize="9" orientation="portrait"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워크시트</vt:lpstr>
      </vt:variant>
      <vt:variant>
        <vt:i4>4</vt:i4>
      </vt:variant>
      <vt:variant>
        <vt:lpstr>이름 지정된 범위</vt:lpstr>
      </vt:variant>
      <vt:variant>
        <vt:i4>3</vt:i4>
      </vt:variant>
    </vt:vector>
  </HeadingPairs>
  <TitlesOfParts>
    <vt:vector size="7" baseType="lpstr">
      <vt:lpstr>★자료입력</vt:lpstr>
      <vt:lpstr>승락서</vt:lpstr>
      <vt:lpstr>지급각서(7.5%)</vt:lpstr>
      <vt:lpstr>하자각서(3%)</vt:lpstr>
      <vt:lpstr>승락서!Print_Area</vt:lpstr>
      <vt:lpstr>'지급각서(7.5%)'!Print_Area</vt:lpstr>
      <vt:lpstr>'하자각서(3%)'!Print_Area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jk1026@kist.re.kr</cp:lastModifiedBy>
  <cp:lastPrinted>2025-09-16T06:54:04Z</cp:lastPrinted>
  <dcterms:created xsi:type="dcterms:W3CDTF">2025-09-16T06:40:12Z</dcterms:created>
  <dcterms:modified xsi:type="dcterms:W3CDTF">2026-04-27T05:29:38Z</dcterms:modified>
</cp:coreProperties>
</file>